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amuls"/>
  <workbookPr/>
  <bookViews>
    <workbookView activeTab="2" xWindow="240" yWindow="60" windowWidth="29040" windowHeight="15720" tabRatio="500"/>
  </bookViews>
  <sheets>
    <sheet name="1.INFORMATION" sheetId="1" r:id="rId4"/>
    <sheet name="2.INSTRUCTIONS" sheetId="2" r:id="rId5"/>
    <sheet name="3.GANTT CHART" sheetId="3" r:id="rId6"/>
  </sheets>
  <definedNames>
    <definedName name="_xlnm.Print_Area" localSheetId="2">'3.GANTT CHART'!$A$2:$BD$58</definedName>
    <definedName name="_xlnm.Print_Titles" localSheetId="2">'3.GANTT CHART'!$5:$6</definedName>
  </definedNames>
  <calcPr/>
  <extLst>
    <ext uri="smNativeData">
      <pm:revision xmlns:pm="smNativeData" day="1745591196" val="1224" rev="124" rev64="64" revOS="3" revMin="124" revMax="0"/>
      <pm:docPrefs xmlns:pm="smNativeData" id="1745591196" fixedDigits="0" showNotice="1" showFrameBounds="1" autoChart="1" recalcOnPrint="1" recalcOnCopy="1" finalRounding="1" compatTextArt="1" tab="567" useDefinedPrintRange="1" printArea="currentSheet"/>
      <pm:compatibility xmlns:pm="smNativeData" id="1745591196" overlapCells="1"/>
      <pm:defCurrency xmlns:pm="smNativeData" id="1745591196"/>
    </ext>
  </extLst>
</workbook>
</file>

<file path=xl/comments1.xml><?xml version="1.0" encoding="utf-8"?>
<comments xmlns="http://schemas.openxmlformats.org/spreadsheetml/2006/main">
  <authors>
    <author>Unknown</author>
  </authors>
  <commentList>
    <comment ref="B12" authorId="0">
      <text>
        <r>
          <rPr>
            <rFont val="Calibri"/>
            <charset val="0"/>
            <family val="2"/>
            <sz val="9"/>
            <b/>
            <i val="0"/>
          </rPr>
          <t>Compulsory work packages:</t>
        </r>
        <r>
          <rPr>
            <rFont val="Calibri"/>
            <charset val="0"/>
            <family val="2"/>
            <sz val="9"/>
            <b val="0"/>
            <i val="0"/>
          </rPr>
          <t xml:space="preserve">
- Coordination, project management and reporting
- Data management
- Valorisation, dissemination, exploitation of results
</t>
        </r>
        <r>
          <rPr>
            <rFont val="Calibri"/>
            <charset val="0"/>
            <family val="2"/>
            <sz val="9"/>
            <b/>
            <i val="0"/>
          </rPr>
          <t>Compulsory deliverable (only for Pillar 3):</t>
        </r>
        <r>
          <rPr>
            <rFont val="Calibri"/>
            <charset val="0"/>
            <family val="2"/>
            <sz val="9"/>
            <b val="0"/>
            <i val="0"/>
          </rPr>
          <t xml:space="preserve">
- Development of the state of the art for decision-makers and other stakeholders
</t>
        </r>
      </text>
    </comment>
  </commentList>
</comments>
</file>

<file path=xl/comments2.xml><?xml version="1.0" encoding="utf-8"?>
<comments xmlns="http://schemas.openxmlformats.org/spreadsheetml/2006/main">
  <authors>
    <author>Unknown</author>
  </authors>
  <commentList>
    <comment ref="A5" authorId="0">
      <text>
        <r>
          <rPr>
            <rFont val="Calibri"/>
            <charset val="0"/>
            <family val="2"/>
            <sz val="9"/>
            <b/>
            <i val="0"/>
          </rPr>
          <t>Compulsory work packages:</t>
        </r>
        <r>
          <rPr>
            <rFont val="Calibri"/>
            <charset val="0"/>
            <family val="2"/>
            <sz val="9"/>
            <b val="0"/>
            <i val="0"/>
          </rPr>
          <t xml:space="preserve">
- Coordination, project management and reporting
- Data management
- Valorisation, dissemination, exploitation of results
</t>
        </r>
        <r>
          <rPr>
            <rFont val="Calibri"/>
            <charset val="0"/>
            <family val="2"/>
            <sz val="9"/>
            <b/>
            <i val="0"/>
          </rPr>
          <t>Compulsory deliverable (only for Pillar 3):</t>
        </r>
        <r>
          <rPr>
            <rFont val="Calibri"/>
            <charset val="0"/>
            <family val="2"/>
            <sz val="9"/>
            <b val="0"/>
            <i val="0"/>
          </rPr>
          <t xml:space="preserve">
- Development of the state of the art for decision-makers and other stakeholders
</t>
        </r>
      </text>
    </comment>
  </commentList>
</comments>
</file>

<file path=xl/sharedStrings.xml><?xml version="1.0" encoding="utf-8"?>
<sst xmlns="http://schemas.openxmlformats.org/spreadsheetml/2006/main" count="170" uniqueCount="150">
  <si>
    <t>PERSON-MONTHS CALCULATOR</t>
  </si>
  <si>
    <t>Lenght of time the person will be involved in the Task (example = 2 months)</t>
  </si>
  <si>
    <t>&lt;- Fill in</t>
  </si>
  <si>
    <t>Effort of the person in % (Example, a half-time worker = 50)</t>
  </si>
  <si>
    <t>Person-months</t>
  </si>
  <si>
    <t xml:space="preserve">Call DFR 2026 - Gantt chart </t>
  </si>
  <si>
    <t>hide superfluous rows and columns</t>
  </si>
  <si>
    <t>totals in darker cells are filled in automatically</t>
  </si>
  <si>
    <r>
      <t>Proposal :</t>
    </r>
    <r>
      <rPr>
        <rFont val="Calibri"/>
        <charset val="0"/>
        <family val="2"/>
        <sz val="11"/>
        <b val="0"/>
        <i val="0"/>
        <color rgb="FFFF0000"/>
      </rPr>
      <t xml:space="preserve"> </t>
    </r>
    <r>
      <rPr>
        <rFont val="Calibri"/>
        <charset val="0"/>
        <family val="2"/>
        <sz val="11"/>
        <b val="0"/>
        <i val="0"/>
      </rPr>
      <t>Study acronym</t>
    </r>
  </si>
  <si>
    <t>Promotor: Name</t>
  </si>
  <si>
    <t>WP - Task :  Title</t>
  </si>
  <si>
    <t>Start Month</t>
  </si>
  <si>
    <t xml:space="preserve">End Month </t>
  </si>
  <si>
    <t>Person-months DFR Project</t>
  </si>
  <si>
    <t>Person-months other financial sources</t>
  </si>
  <si>
    <t>Months</t>
  </si>
  <si>
    <t>Name Researcher</t>
  </si>
  <si>
    <t>To be hired (+diploma/degree)</t>
  </si>
  <si>
    <t>TOT PM DFR</t>
  </si>
  <si>
    <t>Name  Researcher</t>
  </si>
  <si>
    <t>TOT PM other</t>
  </si>
  <si>
    <t>1-6</t>
  </si>
  <si>
    <t>7-12</t>
  </si>
  <si>
    <t>13-18</t>
  </si>
  <si>
    <t>19-24</t>
  </si>
  <si>
    <t>25-30</t>
  </si>
  <si>
    <t>31-36</t>
  </si>
  <si>
    <t>37-42</t>
  </si>
  <si>
    <t>43-48</t>
  </si>
  <si>
    <t>WP 1:</t>
  </si>
  <si>
    <t xml:space="preserve">Task 1.1: </t>
  </si>
  <si>
    <t xml:space="preserve">Deliverable 1.1.1: </t>
  </si>
  <si>
    <t xml:space="preserve">Deliverable 1.1.2: </t>
  </si>
  <si>
    <t xml:space="preserve">Task 1.2: </t>
  </si>
  <si>
    <t xml:space="preserve">Deliverable 1.2.1: </t>
  </si>
  <si>
    <t xml:space="preserve">Deliverable 1.2.2: </t>
  </si>
  <si>
    <t>Task 1.3:</t>
  </si>
  <si>
    <t xml:space="preserve">Deliverable 1.3.1: </t>
  </si>
  <si>
    <t xml:space="preserve">Deliverable 1.3.2: </t>
  </si>
  <si>
    <t xml:space="preserve">Task 1.4: </t>
  </si>
  <si>
    <t xml:space="preserve">Deliverable 1.4.1: </t>
  </si>
  <si>
    <t xml:space="preserve">Deliverable 1.4.2: </t>
  </si>
  <si>
    <t xml:space="preserve">Task 1.5: </t>
  </si>
  <si>
    <t xml:space="preserve">Deliverable 1.5.1: </t>
  </si>
  <si>
    <t xml:space="preserve">Deliverable 1.5.2: </t>
  </si>
  <si>
    <t xml:space="preserve">WP 2: </t>
  </si>
  <si>
    <t xml:space="preserve">Task 2.1: </t>
  </si>
  <si>
    <t xml:space="preserve">Deliverable 2.1.1: </t>
  </si>
  <si>
    <t xml:space="preserve">Deliverable 2.1.2: </t>
  </si>
  <si>
    <t>Task 2.2:</t>
  </si>
  <si>
    <t xml:space="preserve">Deliverable 2.2.1: </t>
  </si>
  <si>
    <t xml:space="preserve">Deliverable 2.2.2: </t>
  </si>
  <si>
    <t>Task 2.3:</t>
  </si>
  <si>
    <t xml:space="preserve">Deliverable 2.3.1: </t>
  </si>
  <si>
    <t xml:space="preserve">Deliverable 2.3.2: </t>
  </si>
  <si>
    <t>Task 2.4:</t>
  </si>
  <si>
    <t xml:space="preserve">Deliverable 2.4.1: </t>
  </si>
  <si>
    <t xml:space="preserve">Deliverable 2.4.2: </t>
  </si>
  <si>
    <t>Task 2.5:</t>
  </si>
  <si>
    <t xml:space="preserve">Deliverable 2.5.1: </t>
  </si>
  <si>
    <t xml:space="preserve">Deliverable 2.5.2: </t>
  </si>
  <si>
    <t>WP X: Coordination, project management and reporting</t>
  </si>
  <si>
    <t>Task X.1:</t>
  </si>
  <si>
    <t xml:space="preserve">Deliverable X.1.1: </t>
  </si>
  <si>
    <t xml:space="preserve">Deliverable X.1.2: </t>
  </si>
  <si>
    <t>Task X.2:</t>
  </si>
  <si>
    <t xml:space="preserve">Deliverable X.2.1: </t>
  </si>
  <si>
    <t xml:space="preserve">Deliverable X.2.2: </t>
  </si>
  <si>
    <t>Task X.3:</t>
  </si>
  <si>
    <t xml:space="preserve">Deliverable X.3.1: </t>
  </si>
  <si>
    <t xml:space="preserve">Deliverable X.3.2: </t>
  </si>
  <si>
    <t>Task X.4:</t>
  </si>
  <si>
    <t xml:space="preserve">Deliverable X.4.1: </t>
  </si>
  <si>
    <t xml:space="preserve">Deliverable X.4.2: </t>
  </si>
  <si>
    <t>Task X.5:</t>
  </si>
  <si>
    <t xml:space="preserve">Deliverable X.5.1: </t>
  </si>
  <si>
    <t xml:space="preserve">Deliverable X.5.2: </t>
  </si>
  <si>
    <t>WP Z: Valorisation, dissemination, exploitation of results</t>
  </si>
  <si>
    <t>Task Z.1:</t>
  </si>
  <si>
    <t xml:space="preserve">Deliverable Z.1.1: </t>
  </si>
  <si>
    <t xml:space="preserve">Deliverable Z.1.2: </t>
  </si>
  <si>
    <t>Task Z.2:</t>
  </si>
  <si>
    <t xml:space="preserve">Deliverable Z.2.1: </t>
  </si>
  <si>
    <t xml:space="preserve">Deliverable Z.2.2: </t>
  </si>
  <si>
    <t>Task Z.3:</t>
  </si>
  <si>
    <t xml:space="preserve">Deliverable Z.3.1: </t>
  </si>
  <si>
    <t xml:space="preserve">Deliverable Z.3.2: </t>
  </si>
  <si>
    <t>Task Z.4:</t>
  </si>
  <si>
    <t xml:space="preserve">Deliverable Z.4.1: </t>
  </si>
  <si>
    <t xml:space="preserve">Deliverable Z.4.2: </t>
  </si>
  <si>
    <t>Task Z.5:</t>
  </si>
  <si>
    <t xml:space="preserve">Deliverable Z.5.1: </t>
  </si>
  <si>
    <t xml:space="preserve">Deliverable Z.5.2: </t>
  </si>
  <si>
    <t>TOTAL</t>
  </si>
  <si>
    <t>DFR@RMA Call (2026)</t>
  </si>
  <si>
    <t>Proposal : SIGMA</t>
  </si>
  <si>
    <t>Promotor: Alain MULS</t>
  </si>
  <si>
    <t>Person-months DFR project funded</t>
  </si>
  <si>
    <t xml:space="preserve">Person-months other financial sources </t>
  </si>
  <si>
    <t>To be hired Niv. A ir</t>
  </si>
  <si>
    <r>
      <t xml:space="preserve">WP 1:  </t>
    </r>
    <r>
      <rPr>
        <rFont val="Arial"/>
        <charset val="0"/>
        <family val="0"/>
        <sz val="10"/>
        <b/>
        <i val="0"/>
        <color rgb="FFFFFFFF"/>
      </rPr>
      <t>Literature Study and Requirements Analysis</t>
    </r>
  </si>
  <si>
    <r>
      <t xml:space="preserve">Task 1.1: </t>
    </r>
    <r>
      <rPr>
        <rFont val="Arial"/>
        <charset val="0"/>
        <family val="0"/>
        <sz val="10"/>
        <b val="0"/>
        <i val="0"/>
      </rPr>
      <t>Literature review on GNSS interference detection</t>
    </r>
  </si>
  <si>
    <r>
      <t xml:space="preserve">Deliverable 1.1.1: </t>
    </r>
    <r>
      <rPr>
        <rFont val="Arial"/>
        <charset val="0"/>
        <family val="0"/>
        <sz val="10"/>
        <b val="0"/>
        <i val="0"/>
      </rPr>
      <t>Literature review report</t>
    </r>
  </si>
  <si>
    <r>
      <t xml:space="preserve">Task 1.2: </t>
    </r>
    <r>
      <rPr>
        <rFont val="Arial"/>
        <charset val="0"/>
        <family val="0"/>
        <sz val="10"/>
        <b val="0"/>
        <i val="0"/>
      </rPr>
      <t>Analysis of existing monitoring systems</t>
    </r>
  </si>
  <si>
    <t>Deliverable 1.1.2: Comparison of monitoring systems</t>
  </si>
  <si>
    <r>
      <t xml:space="preserve">Task 1.2: </t>
    </r>
    <r>
      <rPr>
        <rFont val="Arial"/>
        <charset val="0"/>
        <family val="0"/>
        <sz val="10"/>
        <b val="0"/>
        <i val="0"/>
      </rPr>
      <t>Technical requirements definition</t>
    </r>
  </si>
  <si>
    <r>
      <t xml:space="preserve">Deliverable 1.1.3: </t>
    </r>
    <r>
      <rPr>
        <rFont val="Arial"/>
        <charset val="0"/>
        <family val="0"/>
        <sz val="10"/>
        <b val="0"/>
        <i val="0"/>
      </rPr>
      <t>system requirements specification</t>
    </r>
  </si>
  <si>
    <r>
      <t xml:space="preserve">WP 2: </t>
    </r>
    <r>
      <rPr>
        <rFont val="Arial"/>
        <charset val="0"/>
        <family val="0"/>
        <sz val="10"/>
        <b/>
        <i val="0"/>
        <color rgb="FFFFFFFF"/>
      </rPr>
      <t>Data Collection and Processing Pipeline</t>
    </r>
  </si>
  <si>
    <r>
      <t xml:space="preserve">Task 2.1: </t>
    </r>
    <r>
      <rPr>
        <rFont val="Arial"/>
        <charset val="0"/>
        <family val="0"/>
        <sz val="10"/>
        <b val="0"/>
        <i val="0"/>
      </rPr>
      <t>Data Collection and Processing Pipeline</t>
    </r>
  </si>
  <si>
    <r>
      <t xml:space="preserve">Deliverable 2.1.1: </t>
    </r>
    <r>
      <rPr>
        <rFont val="Arial"/>
        <charset val="0"/>
        <family val="0"/>
        <sz val="10"/>
        <b val="0"/>
        <i val="0"/>
      </rPr>
      <t>Functional data pipeline</t>
    </r>
  </si>
  <si>
    <r>
      <t xml:space="preserve">Task 2.2: </t>
    </r>
    <r>
      <rPr>
        <rFont val="Arial"/>
        <charset val="0"/>
        <family val="0"/>
        <sz val="10"/>
        <b val="0"/>
        <i val="0"/>
      </rPr>
      <t>Getting acquainted with regional networks</t>
    </r>
  </si>
  <si>
    <t>Deliverable 2.2.1: National data transfer &amp; monitoring report</t>
  </si>
  <si>
    <r>
      <t xml:space="preserve">Task 2.3: </t>
    </r>
    <r>
      <rPr>
        <rFont val="Arial"/>
        <charset val="0"/>
        <family val="0"/>
        <sz val="10"/>
        <b val="0"/>
        <i val="0"/>
      </rPr>
      <t>Data pre-processing and quality control</t>
    </r>
  </si>
  <si>
    <r>
      <t xml:space="preserve">Deliverable 2.3.1: </t>
    </r>
    <r>
      <rPr>
        <rFont val="Arial"/>
        <charset val="0"/>
        <family val="0"/>
        <sz val="10"/>
        <b val="0"/>
        <i val="0"/>
      </rPr>
      <t>quality control reports</t>
    </r>
  </si>
  <si>
    <r>
      <t xml:space="preserve">WP 3: </t>
    </r>
    <r>
      <rPr>
        <rFont val="Arial"/>
        <charset val="0"/>
        <family val="0"/>
        <sz val="10"/>
        <b/>
        <i val="0"/>
        <color rgb="FFFFFFFF"/>
      </rPr>
      <t>Signal-Based Interference Detection Development</t>
    </r>
  </si>
  <si>
    <r>
      <t xml:space="preserve">Task 3.1: </t>
    </r>
    <r>
      <rPr>
        <rFont val="Arial"/>
        <charset val="0"/>
        <family val="0"/>
        <sz val="10"/>
        <b val="0"/>
        <i val="0"/>
      </rPr>
      <t>Signal strength analysis</t>
    </r>
  </si>
  <si>
    <r>
      <t xml:space="preserve">Deliverable 3.1.1: </t>
    </r>
    <r>
      <rPr>
        <rFont val="Arial"/>
        <charset val="0"/>
        <family val="0"/>
        <sz val="10"/>
        <b val="0"/>
        <i val="0"/>
      </rPr>
      <t>ARIMA modelling for anomaly detection</t>
    </r>
  </si>
  <si>
    <r>
      <t xml:space="preserve">Task 3.2: </t>
    </r>
    <r>
      <rPr>
        <rFont val="Arial"/>
        <charset val="0"/>
        <family val="0"/>
        <sz val="10"/>
        <b val="0"/>
        <i val="0"/>
      </rPr>
      <t>Multi-station C/N0 correlation analysis</t>
    </r>
  </si>
  <si>
    <r>
      <t xml:space="preserve">Deliverable 3.2.1: </t>
    </r>
    <r>
      <rPr>
        <rFont val="Arial"/>
        <charset val="0"/>
        <family val="0"/>
        <sz val="10"/>
        <b val="0"/>
        <i val="0"/>
      </rPr>
      <t>Detection algorithms &amp; perrformance metrics</t>
    </r>
  </si>
  <si>
    <r>
      <t xml:space="preserve">WP 4: </t>
    </r>
    <r>
      <rPr>
        <rFont val="Arial"/>
        <charset val="0"/>
        <family val="0"/>
        <sz val="10"/>
        <b/>
        <i val="0"/>
        <color rgb="FFFFFFFF"/>
      </rPr>
      <t>Position-Based Interference Detection Development</t>
    </r>
  </si>
  <si>
    <r>
      <t xml:space="preserve">Task 4.1: </t>
    </r>
    <r>
      <rPr>
        <rFont val="Arial"/>
        <charset val="0"/>
        <family val="0"/>
        <sz val="10"/>
        <b val="0"/>
        <i val="0"/>
      </rPr>
      <t>Position stability monitoring</t>
    </r>
  </si>
  <si>
    <r>
      <t xml:space="preserve">Deliverable 4.1.1: </t>
    </r>
    <r>
      <rPr>
        <rFont val="Arial"/>
        <charset val="0"/>
        <family val="0"/>
        <sz val="10"/>
        <b val="0"/>
        <i val="0"/>
      </rPr>
      <t>Coordinate variation detection algorithm</t>
    </r>
  </si>
  <si>
    <r>
      <t xml:space="preserve">Task 4.2: </t>
    </r>
    <r>
      <rPr>
        <rFont val="Arial"/>
        <charset val="0"/>
        <family val="0"/>
        <sz val="10"/>
        <b val="0"/>
        <i val="0"/>
      </rPr>
      <t>Multi-station correlation analysis</t>
    </r>
  </si>
  <si>
    <r>
      <t xml:space="preserve">Deliverable 4.2.1: </t>
    </r>
    <r>
      <rPr>
        <rFont val="Arial"/>
        <charset val="0"/>
        <family val="0"/>
        <sz val="10"/>
        <b val="0"/>
        <i val="0"/>
      </rPr>
      <t>Spatial correlation algorithms</t>
    </r>
  </si>
  <si>
    <r>
      <t xml:space="preserve">WP 5: </t>
    </r>
    <r>
      <rPr>
        <rFont val="Arial"/>
        <charset val="0"/>
        <family val="0"/>
        <sz val="10"/>
        <b/>
        <i val="0"/>
        <color rgb="FFFFFFFF"/>
      </rPr>
      <t>Interference Classification and Analysis</t>
    </r>
  </si>
  <si>
    <r>
      <t xml:space="preserve">Task 5.1: </t>
    </r>
    <r>
      <rPr>
        <rFont val="Arial"/>
        <charset val="0"/>
        <family val="0"/>
        <sz val="10"/>
        <b val="0"/>
        <i val="0"/>
      </rPr>
      <t>Interference type classification</t>
    </r>
  </si>
  <si>
    <r>
      <t xml:space="preserve">Deliverable 5.1.1: </t>
    </r>
    <r>
      <rPr>
        <rFont val="Arial"/>
        <charset val="0"/>
        <family val="0"/>
        <sz val="10"/>
        <b val="0"/>
        <i val="0"/>
      </rPr>
      <t>Classification algorithms</t>
    </r>
  </si>
  <si>
    <r>
      <t xml:space="preserve">WP 6: </t>
    </r>
    <r>
      <rPr>
        <rFont val="Arial"/>
        <charset val="0"/>
        <family val="0"/>
        <sz val="10"/>
        <b/>
        <i val="0"/>
        <color rgb="FFFFFFFF"/>
      </rPr>
      <t>SIGMA application</t>
    </r>
  </si>
  <si>
    <r>
      <t xml:space="preserve">Task 6.1: </t>
    </r>
    <r>
      <rPr>
        <rFont val="Arial"/>
        <charset val="0"/>
        <family val="0"/>
        <sz val="10"/>
        <b val="0"/>
        <i val="0"/>
      </rPr>
      <t>SIGMA Dashboard development</t>
    </r>
  </si>
  <si>
    <r>
      <t xml:space="preserve">Deliverable 6.1.1: </t>
    </r>
    <r>
      <rPr>
        <rFont val="Arial"/>
        <charset val="0"/>
        <family val="0"/>
        <sz val="10"/>
        <b val="0"/>
        <i val="0"/>
      </rPr>
      <t>Operational prototype</t>
    </r>
  </si>
  <si>
    <r>
      <t xml:space="preserve">Task X.0: </t>
    </r>
    <r>
      <rPr>
        <rFont val="Calibri"/>
        <charset val="0"/>
        <family val="2"/>
        <sz val="11"/>
        <b val="0"/>
        <i/>
      </rPr>
      <t>Kick-off meeting</t>
    </r>
  </si>
  <si>
    <t>48!!</t>
  </si>
  <si>
    <r>
      <t xml:space="preserve">Deliverable X.0.1: </t>
    </r>
    <r>
      <rPr>
        <rFont val="Calibri"/>
        <charset val="0"/>
        <family val="2"/>
        <sz val="11"/>
        <b val="0"/>
        <i/>
      </rPr>
      <t>MoM Kick-off meeting</t>
    </r>
  </si>
  <si>
    <r>
      <t xml:space="preserve">Task X.1: </t>
    </r>
    <r>
      <rPr>
        <rFont val="Calibri"/>
        <charset val="0"/>
        <family val="2"/>
        <sz val="11"/>
        <b val="0"/>
        <i/>
      </rPr>
      <t>Quarterly meeting RMA-NGI</t>
    </r>
  </si>
  <si>
    <t>Deliverable X.1.1: MoM meeting RMA-NGI (repeats every 4 months)</t>
  </si>
  <si>
    <t>Task X.2: reporting year 1</t>
  </si>
  <si>
    <t>Deliverable X.2.1: year 1 report</t>
  </si>
  <si>
    <t>Task X.2: reporting year 2</t>
  </si>
  <si>
    <t>Deliverable X.2.2: year 2 report</t>
  </si>
  <si>
    <t>Task X.2: reporting year 3</t>
  </si>
  <si>
    <t>Deliverable X.2.3: year 3 report</t>
  </si>
  <si>
    <t>Task X.2: reporting project</t>
  </si>
  <si>
    <t>Deliverable X.2.4: final report</t>
  </si>
  <si>
    <r>
      <t xml:space="preserve">Task Z.1: </t>
    </r>
    <r>
      <rPr>
        <rFont val="Arial"/>
        <charset val="0"/>
        <family val="0"/>
        <sz val="10"/>
        <b val="0"/>
        <i val="0"/>
      </rPr>
      <t>Academic publications</t>
    </r>
  </si>
  <si>
    <r>
      <t xml:space="preserve">Task Z.2: </t>
    </r>
    <r>
      <rPr>
        <rFont val="Arial"/>
        <charset val="0"/>
        <family val="0"/>
        <sz val="10"/>
        <b val="0"/>
        <i val="0"/>
      </rPr>
      <t>Conference presentations</t>
    </r>
  </si>
  <si>
    <r>
      <t xml:space="preserve">Task Z.1: </t>
    </r>
    <r>
      <rPr>
        <rFont val="Arial"/>
        <charset val="0"/>
        <family val="0"/>
        <sz val="10"/>
        <b val="0"/>
        <i val="0"/>
      </rPr>
      <t>Knowledge transfer</t>
    </r>
  </si>
  <si>
    <t xml:space="preserve">Deliverable Z.1.1:  </t>
  </si>
  <si>
    <t xml:space="preserve">Deliverable Z.1.2:  </t>
  </si>
  <si>
    <t xml:space="preserve">Deliverable Z.1.3:  </t>
  </si>
  <si>
    <t xml:space="preserve">Deliverable Z.1.4: </t>
  </si>
</sst>
</file>

<file path=xl/styles.xml><?xml version="1.0" encoding="utf-8"?>
<styleSheet xmlns="http://schemas.openxmlformats.org/spreadsheetml/2006/main">
  <numFmts count="11">
    <numFmt numFmtId="5" formatCode="#,##0\ &quot;£&quot;;\-#,##0\ &quot;£&quot;"/>
    <numFmt numFmtId="6" formatCode="#,##0\ &quot;£&quot;;[Red]\-#,##0\ &quot;£&quot;"/>
    <numFmt numFmtId="7" formatCode="#,##0.00\ &quot;£&quot;;\-#,##0.00\ &quot;£&quot;"/>
    <numFmt numFmtId="8" formatCode="#,##0.00\ &quot;£&quot;;[Red]\-#,##0.00\ &quot;£&quot;"/>
    <numFmt numFmtId="42" formatCode="_-* #,##0\ &quot;£&quot;_-;\-* #,##0\ &quot;£&quot;_-;_-* &quot;-&quot;\ &quot;£&quot;_-;_-@_-"/>
    <numFmt numFmtId="41" formatCode="_-* #,##0\ _£_-;\-* #,##0\ _£_-;_-* &quot;-&quot;\ _£_-;_-@_-"/>
    <numFmt numFmtId="44" formatCode="_-* #,##0.00\ &quot;£&quot;_-;\-* #,##0.00\ &quot;£&quot;_-;_-* &quot;-&quot;??\ &quot;£&quot;_-;_-@_-"/>
    <numFmt numFmtId="43" formatCode="_-* #,##0.00\ _£_-;\-* #,##0.00\ _£_-;_-* &quot;-&quot;??\ _£_-;_-@_-"/>
    <numFmt numFmtId="164" formatCode="0.0"/>
    <numFmt numFmtId="1" formatCode="0"/>
    <numFmt numFmtId="49" formatCode="@"/>
  </numFmts>
  <fonts count="26">
    <font>
      <name val="Calibri"/>
      <family val="2"/>
      <color rgb="FF000000"/>
      <sz val="11"/>
      <extLst>
        <ext uri="smNativeData">
          <pm:charSpec xmlns:pm="smNativeData" id="1745591196" ulstyle="none" kern="1">
            <pm:latin face="Calibri" sz="220" lang="default"/>
            <pm:cs face="Basic Roman" sz="220" lang="default"/>
            <pm:ea face="Basic Roman" sz="220" lang="default"/>
          </pm:charSpec>
        </ext>
      </extLst>
    </font>
    <font>
      <name val="Basic Sans"/>
      <color rgb="FF000000"/>
      <sz val="10"/>
      <extLst>
        <ext uri="smNativeData">
          <pm:charSpec xmlns:pm="smNativeData" id="1745591196" ulstyle="none" kern="1">
            <pm:latin face="Basic Sans" sz="200" lang="default"/>
            <pm:cs face="Basic Roman" sz="200" lang="default"/>
            <pm:ea face="Basic Roman" sz="200" lang="default"/>
          </pm:charSpec>
        </ext>
      </extLst>
    </font>
    <font>
      <name val="Calibri"/>
      <family val="2"/>
      <color rgb="FFFF0000"/>
      <sz val="11"/>
      <extLst>
        <ext uri="smNativeData">
          <pm:charSpec xmlns:pm="smNativeData" id="1745591196" fgClr="FF0000" ulstyle="none" kern="1">
            <pm:latin face="Calibri" sz="220" lang="default"/>
            <pm:cs face="Basic Roman" sz="220" lang="default"/>
            <pm:ea face="Basic Roman" sz="220" lang="default"/>
          </pm:charSpec>
        </ext>
      </extLst>
    </font>
    <font>
      <name val="Calibri"/>
      <family val="2"/>
      <b/>
      <color rgb="FF000000"/>
      <sz val="11"/>
      <extLst>
        <ext uri="smNativeData">
          <pm:charSpec xmlns:pm="smNativeData" id="1745591196" ulstyle="none" kern="1">
            <pm:latin face="Calibri" sz="220" lang="default" weight="bold"/>
            <pm:cs face="Basic Roman" sz="220" lang="default" weight="bold"/>
            <pm:ea face="Basic Roman" sz="220" lang="default" weight="bold"/>
          </pm:charSpec>
        </ext>
      </extLst>
    </font>
    <font>
      <name val="Calibri"/>
      <family val="2"/>
      <i/>
      <color rgb="FF000000"/>
      <sz val="11"/>
      <extLst>
        <ext uri="smNativeData">
          <pm:charSpec xmlns:pm="smNativeData" id="1745591196" ulstyle="none" kern="1">
            <pm:latin face="Calibri" sz="220" lang="default" i="1"/>
            <pm:cs face="Basic Roman" sz="220" lang="default" i="1"/>
            <pm:ea face="Basic Roman" sz="220" lang="default" i="1"/>
          </pm:charSpec>
        </ext>
      </extLst>
    </font>
    <font>
      <name val="Calibri"/>
      <family val="2"/>
      <color rgb="FFFFFFFF"/>
      <sz val="11"/>
      <extLst>
        <ext uri="smNativeData">
          <pm:charSpec xmlns:pm="smNativeData" id="1745591196" fgClr="FFFFFF" ulstyle="none" kern="1">
            <pm:latin face="Calibri" sz="220" lang="default"/>
            <pm:cs face="Basic Roman" sz="220" lang="default"/>
            <pm:ea face="Basic Roman" sz="220" lang="default"/>
          </pm:charSpec>
        </ext>
      </extLst>
    </font>
    <font>
      <name val="Calibri"/>
      <family val="2"/>
      <b/>
      <color rgb="FFFFFFFF"/>
      <sz val="11"/>
      <extLst>
        <ext uri="smNativeData">
          <pm:charSpec xmlns:pm="smNativeData" id="1745591196" fgClr="FFFFFF" ulstyle="none" kern="1">
            <pm:latin face="Calibri" sz="220" lang="default" weight="bold"/>
            <pm:cs face="Basic Roman" sz="220" lang="default" weight="bold"/>
            <pm:ea face="Basic Roman" sz="220" lang="default" weight="bold"/>
          </pm:charSpec>
        </ext>
      </extLst>
    </font>
    <font>
      <name val="Calibri"/>
      <family val="2"/>
      <b/>
      <color rgb="FFFFFFFF"/>
      <sz val="10"/>
      <extLst>
        <ext uri="smNativeData">
          <pm:charSpec xmlns:pm="smNativeData" id="1745591196" fgClr="FFFFFF" ulstyle="none" kern="1">
            <pm:latin face="Calibri" sz="200" lang="default" weight="bold"/>
            <pm:cs face="Basic Roman" sz="200" lang="default" weight="bold"/>
            <pm:ea face="Basic Roman" sz="200" lang="default" weight="bold"/>
          </pm:charSpec>
        </ext>
      </extLst>
    </font>
    <font>
      <name val="Calibri"/>
      <family val="2"/>
      <color rgb="FFFFFFFF"/>
      <sz val="12"/>
      <extLst>
        <ext uri="smNativeData">
          <pm:charSpec xmlns:pm="smNativeData" id="1745591196" fgClr="FFFFFF" ulstyle="none" kern="1">
            <pm:latin face="Calibri" sz="240" lang="default"/>
            <pm:cs face="Basic Roman" sz="240" lang="default"/>
            <pm:ea face="Basic Roman" sz="240" lang="default"/>
          </pm:charSpec>
        </ext>
      </extLst>
    </font>
    <font>
      <name val="Calibri"/>
      <family val="2"/>
      <color rgb="FF0000FF"/>
      <sz val="11"/>
      <u val="single"/>
      <extLst>
        <ext uri="smNativeData">
          <pm:charSpec xmlns:pm="smNativeData" id="1745591196" fgClr="0000FF" ulstyle="single" kern="1">
            <pm:latin face="Calibri" sz="220" lang="default"/>
            <pm:cs face="Basic Roman" sz="220" lang="default"/>
            <pm:ea face="Basic Roman" sz="220" lang="default"/>
          </pm:charSpec>
        </ext>
      </extLst>
    </font>
    <font>
      <name val="Calibri"/>
      <family val="2"/>
      <color rgb="FF0000FF"/>
      <sz val="11"/>
      <u val="single"/>
      <extLst>
        <ext uri="smNativeData">
          <pm:charSpec xmlns:pm="smNativeData" id="1745591196" fgClr="0000FF" ulstyle="single" kern="1">
            <pm:latin face="Calibri" sz="220" lang="default"/>
            <pm:cs face="Basic Roman" sz="220" lang="default"/>
            <pm:ea face="Basic Roman" sz="220" lang="default"/>
            <hyperlink type="3" url="mailto:DFR@RMA Call (2026)" location="" text=""/>
          </pm:charSpec>
        </ext>
      </extLst>
    </font>
    <font>
      <name val="Calibri"/>
      <family val="2"/>
      <color rgb="FFFFFFFF"/>
      <sz val="11"/>
      <extLst>
        <ext uri="smNativeData">
          <pm:charSpec xmlns:pm="smNativeData" id="1745591196" fgClr="FFFFFF" ulstyle="none" kern="1">
            <pm:latin face="Calibri" sz="220" lang="default"/>
            <pm:cs face="Basic Sans" sz="220" lang="default"/>
            <pm:ea face="Basic Sans" sz="220" lang="default"/>
          </pm:charSpec>
        </ext>
      </extLst>
    </font>
    <font>
      <name val="Calibri"/>
      <family val="2"/>
      <color rgb="FF000000"/>
      <sz val="11"/>
      <extLst>
        <ext uri="smNativeData">
          <pm:charSpec xmlns:pm="smNativeData" id="1745591196" ulstyle="none" kern="1">
            <pm:latin face="Calibri" sz="220" lang="default"/>
            <pm:cs face="Basic Sans" sz="220" lang="default"/>
            <pm:ea face="Basic Sans" sz="220" lang="default"/>
          </pm:charSpec>
        </ext>
      </extLst>
    </font>
    <font>
      <name val="Calibri"/>
      <family val="2"/>
      <b/>
      <i/>
      <color rgb="FFFFFFFF"/>
      <sz val="11"/>
      <extLst>
        <ext uri="smNativeData">
          <pm:charSpec xmlns:pm="smNativeData" id="1745591196" fgClr="FFFFFF" ulstyle="none" kern="1">
            <pm:latin face="Calibri" sz="220" lang="default" weight="bold" i="1"/>
            <pm:cs face="Basic Roman" sz="220" lang="default" weight="bold"/>
            <pm:ea face="Basic Roman" sz="220" lang="default" weight="bold"/>
          </pm:charSpec>
        </ext>
      </extLst>
    </font>
    <font>
      <name val="Calibri"/>
      <family val="2"/>
      <i/>
      <color rgb="FF000000"/>
      <sz val="11"/>
      <extLst>
        <ext uri="smNativeData">
          <pm:charSpec xmlns:pm="smNativeData" id="1745591196" ulstyle="none" kern="1">
            <pm:latin face="Calibri" sz="220" lang="default" i="1"/>
            <pm:cs face="Basic Roman" sz="220" lang="default"/>
            <pm:ea face="Basic Roman" sz="220" lang="default"/>
          </pm:charSpec>
        </ext>
      </extLst>
    </font>
    <font>
      <name val="Arial"/>
      <b/>
      <color rgb="FF000000"/>
      <sz val="10"/>
      <extLst>
        <ext uri="smNativeData">
          <pm:charSpec xmlns:pm="smNativeData" id="1745591196" ulstyle="none">
            <pm:latin face="Arial" sz="200" lang="default" weight="bold"/>
            <pm:cs face="Basic Sans" sz="200" lang="default"/>
            <pm:ea face="Basic Sans" sz="200" lang="default"/>
          </pm:charSpec>
        </ext>
      </extLst>
    </font>
    <font>
      <name val="Arial"/>
      <b/>
      <color rgb="FFFFFFFF"/>
      <sz val="10"/>
      <extLst>
        <ext uri="smNativeData">
          <pm:charSpec xmlns:pm="smNativeData" id="1745591196" fgClr="FFFFFF" ulstyle="none" kern="1">
            <pm:latin face="Arial" sz="200" lang="default" weight="bold"/>
            <pm:cs face="Basic Roman" sz="220" lang="default" weight="bold"/>
            <pm:ea face="Basic Roman" sz="220" lang="default" weight="bold"/>
          </pm:charSpec>
        </ext>
      </extLst>
    </font>
    <font>
      <name val="Arial"/>
      <color rgb="FF000000"/>
      <sz val="10"/>
      <u val="single"/>
      <extLst>
        <ext uri="smNativeData">
          <pm:charSpec xmlns:pm="smNativeData" id="1745591196" ulstyle="single">
            <pm:latin face="Arial" sz="200" lang="default"/>
            <pm:cs face="Basic Sans" sz="200" lang="default"/>
            <pm:ea face="Basic Sans" sz="200" lang="default"/>
          </pm:charSpec>
        </ext>
      </extLst>
    </font>
    <font>
      <name val="Arial"/>
      <color rgb="FF000000"/>
      <sz val="10"/>
      <extLst>
        <ext uri="smNativeData">
          <pm:charSpec xmlns:pm="smNativeData" id="1745591196" ulstyle="none">
            <pm:latin face="Arial" sz="200" lang="default"/>
            <pm:cs face="Basic Sans" sz="200" lang="default"/>
            <pm:ea face="Basic Sans" sz="200" lang="default"/>
          </pm:charSpec>
        </ext>
      </extLst>
    </font>
    <font>
      <name val="Symbol"/>
      <b/>
      <color rgb="FF000000"/>
      <sz val="10"/>
      <u val="single"/>
      <extLst>
        <ext uri="smNativeData">
          <pm:charSpec xmlns:pm="smNativeData" id="1745591196" ulstyle="single">
            <pm:latin face="Symbol" sz="200" lang="default" weight="bold"/>
            <pm:cs face="Basic Sans" sz="200" lang="default"/>
            <pm:ea face="Basic Sans" sz="200" lang="default"/>
          </pm:charSpec>
        </ext>
      </extLst>
    </font>
    <font>
      <name val="Arial"/>
      <color rgb="FF000000"/>
      <sz val="10"/>
      <extLst>
        <ext uri="smNativeData">
          <pm:charSpec xmlns:pm="smNativeData" id="1745591196" ulstyle="none" kern="1">
            <pm:latin face="Arial" sz="200" lang="default"/>
            <pm:cs face="Basic Roman" sz="220" lang="default"/>
            <pm:ea face="Basic Roman" sz="220" lang="default"/>
          </pm:charSpec>
        </ext>
      </extLst>
    </font>
    <font>
      <name val="Arial"/>
      <b/>
      <color rgb="FFFFFFFF"/>
      <sz val="10"/>
      <extLst>
        <ext uri="smNativeData">
          <pm:charSpec xmlns:pm="smNativeData" id="1745591196" fgClr="FFFFFF" ulstyle="none">
            <pm:latin face="Arial" sz="200" lang="default" weight="bold"/>
            <pm:cs face="Basic Roman" sz="200" lang="default" weight="bold"/>
            <pm:ea face="Basic Roman" sz="200" lang="default" weight="bold"/>
          </pm:charSpec>
        </ext>
      </extLst>
    </font>
    <font>
      <name val="Arial"/>
      <b/>
      <color rgb="FFFFFFFF"/>
      <sz val="10"/>
      <extLst>
        <ext uri="smNativeData">
          <pm:charSpec xmlns:pm="smNativeData" id="1745591196" fgClr="FFFFFF" ulstyle="none">
            <pm:latin face="Arial" sz="200" lang="default" weight="bold"/>
            <pm:cs face="Basic Roman" sz="220" lang="default" weight="bold"/>
            <pm:ea face="Basic Roman" sz="220" lang="default" weight="bold"/>
          </pm:charSpec>
        </ext>
      </extLst>
    </font>
    <font>
      <name val="Calibri"/>
      <family val="2"/>
      <b/>
      <color rgb="FF000000"/>
      <sz val="11"/>
      <extLst>
        <ext uri="smNativeData">
          <pm:charSpec xmlns:pm="smNativeData" id="1745591196" ulstyle="none" kern="1">
            <pm:latin face="Calibri" sz="220" lang="default" weight="bold"/>
            <pm:cs face="Basic Roman" sz="220" lang="default"/>
            <pm:ea face="Basic Roman" sz="220" lang="default"/>
          </pm:charSpec>
        </ext>
      </extLst>
    </font>
    <font>
      <name val="Arial"/>
      <color rgb="FF000000"/>
      <sz val="10"/>
      <extLst>
        <ext uri="smNativeData">
          <pm:charSpec xmlns:pm="smNativeData" id="1745591196" ulstyle="none" kern="1">
            <pm:latin face="Arial" sz="200" lang="default"/>
            <pm:cs face="Basic Roman" sz="220" lang="default"/>
            <pm:ea face="Basic Roman" sz="220" lang="default"/>
          </pm:charSpec>
        </ext>
      </extLst>
    </font>
    <font>
      <name val="Arial"/>
      <color rgb="FF000000"/>
      <sz val="10"/>
      <extLst>
        <ext uri="smNativeData">
          <pm:charSpec xmlns:pm="smNativeData" id="1745591196" ulstyle="none">
            <pm:latin face="Arial" sz="200" lang="default"/>
            <pm:cs face="Basic Roman" sz="200" lang="default"/>
            <pm:ea face="Basic Roman" sz="200" lang="default"/>
          </pm:charSpec>
        </ext>
      </extLst>
    </font>
  </fonts>
  <fills count="80">
    <fill>
      <patternFill patternType="none"/>
    </fill>
    <fill>
      <patternFill patternType="gray125"/>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C000"/>
        <bgColor rgb="FFFFFFFF"/>
        <extLst>
          <ext uri="smNativeData">
            <pm:shade xmlns:pm="smNativeData" id="1745591196" type="1" fgLvl="100" fgClr="00FFC000" bgLvl="0" bgClr="00000000"/>
          </ext>
        </extLst>
      </patternFill>
    </fill>
    <fill>
      <patternFill patternType="solid">
        <fgColor rgb="FFFFC000"/>
        <bgColor rgb="FFFFFFFF"/>
        <extLst>
          <ext uri="smNativeData">
            <pm:shade xmlns:pm="smNativeData" id="1745591196" type="1" fgLvl="100" fgClr="00FFC000" bgLvl="0" bgClr="00000000"/>
          </ext>
        </extLst>
      </patternFill>
    </fill>
    <fill>
      <patternFill patternType="solid">
        <fgColor rgb="FFFFC000"/>
        <bgColor rgb="FFFFFFFF"/>
        <extLst>
          <ext uri="smNativeData">
            <pm:shade xmlns:pm="smNativeData" id="1745591196" type="1" fgLvl="100" fgClr="00FFC000" bgLvl="0" bgClr="00000000"/>
          </ext>
        </extLst>
      </patternFill>
    </fill>
    <fill>
      <patternFill patternType="none"/>
    </fill>
    <fill>
      <patternFill patternType="solid">
        <fgColor rgb="FF366092"/>
        <bgColor rgb="FFFFFFFF"/>
        <extLst>
          <ext uri="smNativeData">
            <pm:shade xmlns:pm="smNativeData" id="1745591196" type="1" fgLvl="100" fgClr="00366092"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95B3D7"/>
        <bgColor rgb="FFFFFFFF"/>
        <extLst>
          <ext uri="smNativeData">
            <pm:shade xmlns:pm="smNativeData" id="1745591196" type="1" fgLvl="100" fgClr="0095B3D7" bgLvl="0" bgClr="00000000"/>
          </ext>
        </extLst>
      </patternFill>
    </fill>
    <fill>
      <patternFill patternType="solid">
        <fgColor rgb="FF95B3D7"/>
        <bgColor rgb="FFFFFFFF"/>
        <extLst>
          <ext uri="smNativeData">
            <pm:shade xmlns:pm="smNativeData" id="1745591196" type="1" fgLvl="100" fgClr="0095B3D7"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B8CCE4"/>
        <bgColor rgb="FFFFFFFF"/>
        <extLst>
          <ext uri="smNativeData">
            <pm:shade xmlns:pm="smNativeData" id="1745591196" type="1" fgLvl="100" fgClr="00B8CCE4"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B8CCE4"/>
        <bgColor rgb="FFFFFFFF"/>
        <extLst>
          <ext uri="smNativeData">
            <pm:shade xmlns:pm="smNativeData" id="1745591196" type="1" fgLvl="100" fgClr="00B8CCE4" bgLvl="0" bgClr="00000000"/>
          </ext>
        </extLst>
      </patternFill>
    </fill>
    <fill>
      <patternFill patternType="solid">
        <fgColor rgb="FFB8CCE4"/>
        <bgColor rgb="FFFFFFFF"/>
        <extLst>
          <ext uri="smNativeData">
            <pm:shade xmlns:pm="smNativeData" id="1745591196" type="1" fgLvl="100" fgClr="00B8CCE4" bgLvl="0" bgClr="00000000"/>
          </ext>
        </extLst>
      </patternFill>
    </fill>
    <fill>
      <patternFill patternType="solid">
        <fgColor rgb="FFB8CCE4"/>
        <bgColor rgb="FFFFFFFF"/>
        <extLst>
          <ext uri="smNativeData">
            <pm:shade xmlns:pm="smNativeData" id="1745591196" type="1" fgLvl="100" fgClr="00B8CCE4"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none"/>
    </fill>
    <fill>
      <patternFill patternType="solid">
        <fgColor rgb="FFB8CCE4"/>
        <bgColor rgb="FFFFFFFF"/>
        <extLst>
          <ext uri="smNativeData">
            <pm:shade xmlns:pm="smNativeData" id="1745591196" type="1" fgLvl="100" fgClr="00B8CCE4"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none"/>
    </fill>
    <fill>
      <patternFill patternType="solid">
        <fgColor rgb="FFB8CCE4"/>
        <bgColor rgb="FFFFFFFF"/>
        <extLst>
          <ext uri="smNativeData">
            <pm:shade xmlns:pm="smNativeData" id="1745591196" type="1" fgLvl="100" fgClr="00B8CCE4" bgLvl="0" bgClr="00000000"/>
          </ext>
        </extLst>
      </patternFill>
    </fill>
    <fill>
      <patternFill patternType="solid">
        <fgColor rgb="FF95B3D7"/>
        <bgColor rgb="FFFFFFFF"/>
        <extLst>
          <ext uri="smNativeData">
            <pm:shade xmlns:pm="smNativeData" id="1745591196" type="1" fgLvl="100" fgClr="0095B3D7" bgLvl="0" bgClr="00000000"/>
          </ext>
        </extLst>
      </patternFill>
    </fill>
    <fill>
      <patternFill patternType="solid">
        <fgColor rgb="FF95B3D7"/>
        <bgColor rgb="FFFFFFFF"/>
        <extLst>
          <ext uri="smNativeData">
            <pm:shade xmlns:pm="smNativeData" id="1745591196" type="1" fgLvl="100" fgClr="0095B3D7"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366092"/>
        <bgColor rgb="FFFFFFFF"/>
        <extLst>
          <ext uri="smNativeData">
            <pm:shade xmlns:pm="smNativeData" id="1745591196" type="1" fgLvl="100" fgClr="00366092" bgLvl="0" bgClr="00000000"/>
          </ext>
        </extLst>
      </patternFill>
    </fill>
    <fill>
      <patternFill patternType="solid">
        <fgColor rgb="FF95B3D7"/>
        <bgColor rgb="FFFFFFFF"/>
        <extLst>
          <ext uri="smNativeData">
            <pm:shade xmlns:pm="smNativeData" id="1745591196" type="1" fgLvl="100" fgClr="0095B3D7" bgLvl="0" bgClr="00000000"/>
          </ext>
        </extLst>
      </patternFill>
    </fill>
    <fill>
      <patternFill patternType="none"/>
    </fill>
    <fill>
      <patternFill patternType="solid">
        <fgColor rgb="FFB8CCE4"/>
        <bgColor rgb="FFFFFFFF"/>
        <extLst>
          <ext uri="smNativeData">
            <pm:shade xmlns:pm="smNativeData" id="1745591196" type="1" fgLvl="100" fgClr="00B8CCE4"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244062"/>
        <bgColor rgb="FFFFFFFF"/>
        <extLst>
          <ext uri="smNativeData">
            <pm:shade xmlns:pm="smNativeData" id="1745591196" type="1" fgLvl="100" fgClr="00244062" bgLvl="0" bgClr="00000000"/>
          </ext>
        </extLst>
      </patternFill>
    </fill>
    <fill>
      <patternFill patternType="solid">
        <fgColor rgb="FF244062"/>
        <bgColor rgb="FFFFFFFF"/>
        <extLst>
          <ext uri="smNativeData">
            <pm:shade xmlns:pm="smNativeData" id="1745591196" type="1" fgLvl="100" fgClr="00244062" bgLvl="0" bgClr="00000000"/>
          </ext>
        </extLst>
      </patternFill>
    </fill>
    <fill>
      <patternFill patternType="solid">
        <fgColor rgb="FF244062"/>
        <bgColor rgb="FFFFFFFF"/>
        <extLst>
          <ext uri="smNativeData">
            <pm:shade xmlns:pm="smNativeData" id="1745591196" type="1" fgLvl="100" fgClr="00244062"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solid">
        <fgColor rgb="FFDCE6F1"/>
        <bgColor rgb="FFFFFFFF"/>
        <extLst>
          <ext uri="smNativeData">
            <pm:shade xmlns:pm="smNativeData" id="1745591196" type="1" fgLvl="100" fgClr="00DCE6F1" bgLvl="0" bgClr="00000000"/>
          </ext>
        </extLst>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solid">
        <fgColor rgb="FFFFFFFF"/>
        <bgColor rgb="FFFFFFFF"/>
        <extLst>
          <ext uri="smNativeData">
            <pm:shade xmlns:pm="smNativeData" id="1745591196" type="1" fgLvl="100" fgClr="00FFFFFF" bgLvl="100" bgClr="00000000"/>
          </ext>
        </extLst>
      </patternFill>
    </fill>
    <fill>
      <patternFill patternType="solid">
        <fgColor rgb="FFB8CCE4"/>
        <bgColor rgb="FFFFFFFF"/>
        <extLst>
          <ext uri="smNativeData">
            <pm:shade xmlns:pm="smNativeData" id="1745591196" type="1" fgLvl="100" fgClr="00B8CCE4" bgLvl="0" bgClr="00000000"/>
          </ext>
        </extLst>
      </patternFill>
    </fill>
    <fill>
      <patternFill patternType="solid">
        <fgColor rgb="FF366092"/>
        <bgColor rgb="FFFFFFFF"/>
        <extLst>
          <ext uri="smNativeData">
            <pm:shade xmlns:pm="smNativeData" id="1745591196" type="1" fgLvl="100" fgClr="00366092" bgLvl="0" bgClr="00000000"/>
          </ext>
        </extLst>
      </patternFill>
    </fill>
  </fills>
  <borders count="79">
    <border>
      <left style="none">
        <color rgb="FF000000"/>
      </left>
      <right style="none">
        <color rgb="FF000000"/>
      </right>
      <top style="none">
        <color rgb="FF000000"/>
      </top>
      <bottom style="none">
        <color rgb="FF000000"/>
      </bottom>
      <extLst>
        <ext uri="smNativeData">
          <pm:border xmlns:pm="smNativeData" id="1745591196"/>
        </ext>
      </extLst>
    </border>
    <border>
      <left style="none">
        <color rgb="FF000000"/>
      </left>
      <right style="none">
        <color rgb="FF000000"/>
      </right>
      <top style="none">
        <color rgb="FF000000"/>
      </top>
      <bottom style="medium">
        <color rgb="FF000000"/>
      </bottom>
      <extLst>
        <ext uri="smNativeData">
          <pm:border xmlns:pm="smNativeData" id="1745591196">
            <pm:line position="bottom" type="1" style="0" width="30" dist="20" width2="20" rgb="000000"/>
          </pm:border>
        </ext>
      </extLst>
    </border>
    <border>
      <left style="none">
        <color rgb="FF000000"/>
      </left>
      <right style="medium">
        <color rgb="FF000000"/>
      </right>
      <top style="none">
        <color rgb="FF000000"/>
      </top>
      <bottom style="medium">
        <color rgb="FF000000"/>
      </bottom>
      <extLst>
        <ext uri="smNativeData">
          <pm:border xmlns:pm="smNativeData" id="1745591196">
            <pm:line position="bottom" type="1" style="0" width="30" dist="20" width2="20" rgb="000000"/>
            <pm:line position="right" type="1" style="0" width="30" dist="20" width2="20" rgb="000000"/>
          </pm:border>
        </ext>
      </extLst>
    </border>
    <border>
      <left style="none">
        <color rgb="FF000000"/>
      </left>
      <right style="thin">
        <color rgb="FF000000"/>
      </right>
      <top style="none">
        <color rgb="FF000000"/>
      </top>
      <bottom style="medium">
        <color rgb="FF000000"/>
      </bottom>
      <extLst>
        <ext uri="smNativeData">
          <pm:border xmlns:pm="smNativeData" id="1745591196">
            <pm:line position="bottom" type="1" style="0" width="30" dist="20" width2="20" rgb="000000"/>
            <pm:line position="right" type="1" style="0" width="20" dist="20" width2="20" rgb="000000"/>
          </pm:border>
        </ext>
      </extLst>
    </border>
    <border>
      <left style="thin">
        <color rgb="FF000000"/>
      </left>
      <right style="none">
        <color rgb="FF000000"/>
      </right>
      <top style="none">
        <color rgb="FF000000"/>
      </top>
      <bottom style="medium">
        <color rgb="FF000000"/>
      </bottom>
      <extLst>
        <ext uri="smNativeData">
          <pm:border xmlns:pm="smNativeData" id="1745591196">
            <pm:line position="bottom" type="1" style="0" width="30" dist="20" width2="20" rgb="000000"/>
            <pm:line position="left" type="1" style="0" width="20" dist="20" width2="20" rgb="000000"/>
          </pm:border>
        </ext>
      </extLst>
    </border>
    <border>
      <left style="none">
        <color rgb="FF000000"/>
      </left>
      <right style="none">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border>
        </ext>
      </extLst>
    </border>
    <border>
      <left style="none">
        <color rgb="FF000000"/>
      </left>
      <right style="thin">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right" type="1" style="0" width="20" dist="20" width2="20" rgb="000000"/>
          </pm:border>
        </ext>
      </extLst>
    </border>
    <border>
      <left style="thin">
        <color rgb="FF000000"/>
      </left>
      <right style="none">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left" type="1" style="0" width="20" dist="20" width2="20" rgb="000000"/>
          </pm:border>
        </ext>
      </extLst>
    </border>
    <border>
      <left style="none">
        <color rgb="FF000000"/>
      </left>
      <right style="medium">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right" type="1" style="0" width="30" dist="20" width2="20" rgb="000000"/>
          </pm:border>
        </ext>
      </extLst>
    </border>
    <border>
      <left style="none">
        <color rgb="FF000000"/>
      </left>
      <right style="none">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righ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20" dist="20" width2="20" rgb="000000"/>
          </pm:border>
        </ext>
      </extLst>
    </border>
    <border>
      <left style="none">
        <color rgb="FF000000"/>
      </left>
      <right style="medium">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right" type="1" style="0" width="30" dist="20" width2="20" rgb="000000"/>
          </pm:border>
        </ext>
      </extLst>
    </border>
    <border>
      <left style="medium">
        <color rgb="FF000000"/>
      </left>
      <right style="thin">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30" dist="20" width2="20" rgb="000000"/>
            <pm:line position="right" type="1" style="0" width="20" dist="20" width2="20" rgb="000000"/>
          </pm:border>
        </ext>
      </extLst>
    </border>
    <border>
      <left style="thin">
        <color rgb="FF000000"/>
      </left>
      <right style="medium">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20" dist="20" width2="20" rgb="000000"/>
            <pm:line position="right" type="1" style="0" width="30" dist="20" width2="20" rgb="000000"/>
          </pm:border>
        </ext>
      </extLst>
    </border>
    <border>
      <left style="medium">
        <color rgb="FF000000"/>
      </left>
      <right style="none">
        <color rgb="FF000000"/>
      </right>
      <top style="none">
        <color rgb="FF000000"/>
      </top>
      <bottom style="medium">
        <color rgb="FF000000"/>
      </bottom>
      <extLst>
        <ext uri="smNativeData">
          <pm:border xmlns:pm="smNativeData" id="1745591196">
            <pm:line position="bottom" type="1" style="0" width="30" dist="20" width2="20" rgb="000000"/>
            <pm:line position="left" type="1" style="0" width="30" dist="20" width2="20" rgb="000000"/>
          </pm:border>
        </ext>
      </extLst>
    </border>
    <border>
      <left style="medium">
        <color rgb="FF000000"/>
      </left>
      <right style="thin">
        <color rgb="FF000000"/>
      </right>
      <top style="none">
        <color rgb="FF000000"/>
      </top>
      <bottom style="medium">
        <color rgb="FF000000"/>
      </bottom>
      <extLst>
        <ext uri="smNativeData">
          <pm:border xmlns:pm="smNativeData" id="1745591196">
            <pm:line position="bottom" type="1" style="0" width="30" dist="20" width2="20" rgb="000000"/>
            <pm:line position="left" type="1" style="0" width="30" dist="20" width2="20" rgb="000000"/>
            <pm:line position="right" type="1" style="0" width="20" dist="20" width2="20" rgb="000000"/>
          </pm:border>
        </ext>
      </extLst>
    </border>
    <border>
      <left style="thin">
        <color rgb="FF000000"/>
      </left>
      <right style="medium">
        <color rgb="FF000000"/>
      </right>
      <top style="none">
        <color rgb="FF000000"/>
      </top>
      <bottom style="medium">
        <color rgb="FF000000"/>
      </bottom>
      <extLst>
        <ext uri="smNativeData">
          <pm:border xmlns:pm="smNativeData" id="1745591196">
            <pm:line position="bottom" type="1" style="0" width="30" dist="20" width2="20" rgb="000000"/>
            <pm:line position="left" type="1" style="0" width="20" dist="20" width2="20" rgb="000000"/>
            <pm:line position="right" type="1" style="0" width="30" dist="20" width2="20" rgb="000000"/>
          </pm:border>
        </ext>
      </extLst>
    </border>
    <border>
      <left style="none">
        <color rgb="FF000000"/>
      </left>
      <right style="none">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righ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20" dist="20" width2="20" rgb="000000"/>
          </pm:border>
        </ext>
      </extLst>
    </border>
    <border>
      <left style="none">
        <color rgb="FF000000"/>
      </left>
      <right style="medium">
        <color rgb="FF000000"/>
      </right>
      <top style="none">
        <color rgb="FF000000"/>
      </top>
      <bottom style="none">
        <color rgb="FF000000"/>
      </bottom>
      <extLst>
        <ext uri="smNativeData">
          <pm:border xmlns:pm="smNativeData" id="1745591196">
            <pm:line position="right" type="1" style="0" width="30" dist="20" width2="20" rgb="000000"/>
          </pm:border>
        </ext>
      </extLst>
    </border>
    <border>
      <left style="medium">
        <color rgb="FF000000"/>
      </left>
      <right style="none">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left" type="1" style="0" width="30" dist="20" width2="20" rgb="000000"/>
          </pm:border>
        </ext>
      </extLst>
    </border>
    <border>
      <left style="medium">
        <color rgb="FF000000"/>
      </left>
      <right style="thin">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left" type="1" style="0" width="30" dist="20" width2="20" rgb="000000"/>
            <pm:line position="right" type="1" style="0" width="20" dist="20" width2="20" rgb="000000"/>
          </pm:border>
        </ext>
      </extLst>
    </border>
    <border>
      <left style="thin">
        <color rgb="FF000000"/>
      </left>
      <right style="none">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left" type="1" style="0" width="20" dist="20" width2="20" rgb="000000"/>
          </pm:border>
        </ext>
      </extLst>
    </border>
    <border>
      <left style="thin">
        <color rgb="FF000000"/>
      </left>
      <right style="thin">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thin">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medium">
        <color rgb="FF000000"/>
      </bottom>
      <extLst>
        <ext uri="smNativeData">
          <pm:border xmlns:pm="smNativeData" id="1745591196">
            <pm:line position="top" type="1" style="0" width="20" dist="20" width2="20" rgb="000000"/>
            <pm:line position="bottom" type="1" style="0" width="30" dist="20" width2="20" rgb="000000"/>
            <pm:line position="left" type="1" style="0" width="20" dist="20" width2="20" rgb="000000"/>
            <pm:line position="right" type="1" style="0" width="20" dist="20" width2="20" rgb="000000"/>
          </pm:border>
        </ext>
      </extLst>
    </border>
    <border>
      <left style="medium">
        <color rgb="FF000000"/>
      </left>
      <right style="medium">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left" type="1" style="0" width="30" dist="20" width2="20" rgb="000000"/>
            <pm:line position="right" type="1" style="0" width="30" dist="20" width2="20" rgb="000000"/>
          </pm:border>
        </ext>
      </extLst>
    </border>
    <border>
      <left style="thin">
        <color rgb="FF000000"/>
      </left>
      <right style="medium">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left" type="1" style="0" width="20" dist="20" width2="20" rgb="000000"/>
            <pm:line position="right" type="1" style="0" width="30" dist="20" width2="20" rgb="000000"/>
          </pm:border>
        </ext>
      </extLst>
    </border>
    <border>
      <left style="medium">
        <color rgb="FF000000"/>
      </left>
      <right style="none">
        <color rgb="FF000000"/>
      </right>
      <top style="none">
        <color rgb="FF000000"/>
      </top>
      <bottom style="medium">
        <color rgb="FF000000"/>
      </bottom>
      <extLst>
        <ext uri="smNativeData">
          <pm:border xmlns:pm="smNativeData" id="1745591196">
            <pm:line position="bottom" type="1" style="0" width="30" dist="20" width2="20" rgb="000000"/>
            <pm:line position="left" type="1" style="0" width="30" dist="20" width2="20" rgb="000000"/>
          </pm:border>
        </ext>
      </extLst>
    </border>
    <border>
      <left style="medium">
        <color rgb="FF000000"/>
      </left>
      <right style="thin">
        <color rgb="FF000000"/>
      </right>
      <top style="none">
        <color rgb="FF000000"/>
      </top>
      <bottom style="medium">
        <color rgb="FF000000"/>
      </bottom>
      <extLst>
        <ext uri="smNativeData">
          <pm:border xmlns:pm="smNativeData" id="1745591196">
            <pm:line position="bottom" type="1" style="0" width="30" dist="20" width2="20" rgb="000000"/>
            <pm:line position="left" type="1" style="0" width="30" dist="20" width2="20" rgb="000000"/>
            <pm:line position="right" type="1" style="0" width="20" dist="20" width2="20" rgb="000000"/>
          </pm:border>
        </ext>
      </extLst>
    </border>
    <border>
      <left style="thin">
        <color rgb="FF000000"/>
      </left>
      <right style="medium">
        <color rgb="FF000000"/>
      </right>
      <top style="none">
        <color rgb="FF000000"/>
      </top>
      <bottom style="medium">
        <color rgb="FF000000"/>
      </bottom>
      <extLst>
        <ext uri="smNativeData">
          <pm:border xmlns:pm="smNativeData" id="1745591196">
            <pm:line position="bottom" type="1" style="0" width="30" dist="20" width2="20" rgb="000000"/>
            <pm:line position="left" type="1" style="0" width="20" dist="20" width2="20" rgb="000000"/>
            <pm:line position="right" type="1" style="0" width="30" dist="20" width2="20" rgb="000000"/>
          </pm:border>
        </ext>
      </extLst>
    </border>
    <border>
      <left style="none">
        <color rgb="FF000000"/>
      </left>
      <right style="thin">
        <color rgb="FF000000"/>
      </right>
      <top style="none">
        <color rgb="FF000000"/>
      </top>
      <bottom style="thin">
        <color rgb="FF000000"/>
      </bottom>
      <extLst>
        <ext uri="smNativeData">
          <pm:border xmlns:pm="smNativeData" id="1745591196">
            <pm:line position="bottom" type="1" style="0" width="20" dist="20" width2="20" rgb="000000"/>
            <pm:line position="right" type="1" style="0" width="20" dist="20" width2="20" rgb="000000"/>
          </pm:border>
        </ext>
      </extLst>
    </border>
    <border>
      <left style="medium">
        <color rgb="FF000000"/>
      </left>
      <right style="none">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30" dist="20" width2="20" rgb="000000"/>
          </pm:border>
        </ext>
      </extLst>
    </border>
    <border>
      <left style="medium">
        <color rgb="FF000000"/>
      </left>
      <right style="none">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30" dist="20" width2="20" rgb="000000"/>
          </pm:border>
        </ext>
      </extLst>
    </border>
    <border>
      <left style="medium">
        <color rgb="FF000000"/>
      </left>
      <right style="thin">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3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none">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20" dist="20" width2="20" rgb="000000"/>
          </pm:border>
        </ext>
      </extLst>
    </border>
    <border>
      <left style="none">
        <color rgb="FF000000"/>
      </left>
      <right style="none">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border>
        </ext>
      </extLst>
    </border>
    <border>
      <left style="medium">
        <color rgb="FF000000"/>
      </left>
      <right style="none">
        <color rgb="FF000000"/>
      </right>
      <top style="none">
        <color rgb="FF000000"/>
      </top>
      <bottom style="none">
        <color rgb="FF000000"/>
      </bottom>
      <extLst>
        <ext uri="smNativeData">
          <pm:border xmlns:pm="smNativeData" id="1745591196">
            <pm:line position="left" type="1" style="0" width="30" dist="20" width2="20" rgb="000000"/>
          </pm:border>
        </ext>
      </extLst>
    </border>
    <border>
      <left style="none">
        <color rgb="FF000000"/>
      </left>
      <right style="none">
        <color rgb="FF000000"/>
      </right>
      <top style="none">
        <color rgb="FF000000"/>
      </top>
      <bottom style="none">
        <color rgb="FF000000"/>
      </bottom>
      <extLst>
        <ext uri="smNativeData">
          <pm:border xmlns:pm="smNativeData" id="1745591196"/>
        </ext>
      </extLst>
    </border>
    <border>
      <left style="none">
        <color rgb="FF000000"/>
      </left>
      <right style="medium">
        <color rgb="FF000000"/>
      </right>
      <top style="none">
        <color rgb="FF000000"/>
      </top>
      <bottom style="none">
        <color rgb="FF000000"/>
      </bottom>
      <extLst>
        <ext uri="smNativeData">
          <pm:border xmlns:pm="smNativeData" id="1745591196">
            <pm:line position="right" type="1" style="0" width="30" dist="20" width2="20" rgb="000000"/>
          </pm:border>
        </ext>
      </extLst>
    </border>
    <border>
      <left style="medium">
        <color rgb="FF000000"/>
      </left>
      <right style="none">
        <color rgb="FF000000"/>
      </right>
      <top style="none">
        <color rgb="FF000000"/>
      </top>
      <bottom style="medium">
        <color rgb="FF000000"/>
      </bottom>
      <extLst>
        <ext uri="smNativeData">
          <pm:border xmlns:pm="smNativeData" id="1745591196">
            <pm:line position="bottom" type="1" style="0" width="30" dist="20" width2="20" rgb="000000"/>
            <pm:line position="left" type="1" style="0" width="30" dist="20" width2="20" rgb="000000"/>
          </pm:border>
        </ext>
      </extLst>
    </border>
    <border>
      <left style="none">
        <color rgb="FF000000"/>
      </left>
      <right style="none">
        <color rgb="FF000000"/>
      </right>
      <top style="none">
        <color rgb="FF000000"/>
      </top>
      <bottom style="medium">
        <color rgb="FF000000"/>
      </bottom>
      <extLst>
        <ext uri="smNativeData">
          <pm:border xmlns:pm="smNativeData" id="1745591196">
            <pm:line position="bottom" type="1" style="0" width="30" dist="20" width2="20" rgb="000000"/>
          </pm:border>
        </ext>
      </extLst>
    </border>
    <border>
      <left style="none">
        <color rgb="FF000000"/>
      </left>
      <right style="medium">
        <color rgb="FF000000"/>
      </right>
      <top style="none">
        <color rgb="FF000000"/>
      </top>
      <bottom style="medium">
        <color rgb="FF000000"/>
      </bottom>
      <extLst>
        <ext uri="smNativeData">
          <pm:border xmlns:pm="smNativeData" id="1745591196">
            <pm:line position="bottom" type="1" style="0" width="30" dist="20" width2="20" rgb="000000"/>
            <pm:line position="right" type="1" style="0" width="30" dist="20" width2="20" rgb="000000"/>
          </pm:border>
        </ext>
      </extLst>
    </border>
    <border>
      <left style="medium">
        <color rgb="FF244062"/>
      </left>
      <right style="medium">
        <color rgb="FF244062"/>
      </right>
      <top style="medium">
        <color rgb="FF244062"/>
      </top>
      <bottom style="medium">
        <color rgb="FF244062"/>
      </bottom>
      <extLst>
        <ext uri="smNativeData">
          <pm:border xmlns:pm="smNativeData" id="1745591196">
            <pm:line position="top" type="1" style="0" width="30" dist="20" width2="20" rgb="244062"/>
            <pm:line position="bottom" type="1" style="0" width="30" dist="20" width2="20" rgb="244062"/>
            <pm:line position="left" type="1" style="0" width="30" dist="20" width2="20" rgb="244062"/>
            <pm:line position="right" type="1" style="0" width="30" dist="20" width2="20" rgb="244062"/>
          </pm:border>
        </ext>
      </extLst>
    </border>
    <border>
      <left style="medium">
        <color rgb="FF000000"/>
      </left>
      <right style="medium">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30" dist="20" width2="20" rgb="000000"/>
            <pm:line position="right" type="1" style="0" width="30" dist="20" width2="20" rgb="000000"/>
          </pm:border>
        </ext>
      </extLst>
    </border>
    <border>
      <left style="medium">
        <color rgb="FF000000"/>
      </left>
      <right style="medium">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30" dist="20" width2="20" rgb="000000"/>
            <pm:line position="right" type="1" style="0" width="30" dist="20" width2="20" rgb="000000"/>
          </pm:border>
        </ext>
      </extLst>
    </border>
    <border>
      <left style="medium">
        <color rgb="FF000000"/>
      </left>
      <right style="none">
        <color rgb="FF000000"/>
      </right>
      <top style="none">
        <color rgb="FF000000"/>
      </top>
      <bottom style="none">
        <color rgb="FF000000"/>
      </bottom>
      <extLst>
        <ext uri="smNativeData">
          <pm:border xmlns:pm="smNativeData" id="1745591196">
            <pm:line position="left" type="1" style="0" width="30" dist="20" width2="20" rgb="000000"/>
          </pm:border>
        </ext>
      </extLst>
    </border>
    <border>
      <left style="none">
        <color rgb="FF000000"/>
      </left>
      <right style="thin">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45591196">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medium">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20" dist="20" width2="20" rgb="000000"/>
            <pm:line position="right" type="1" style="0" width="30" dist="20" width2="20" rgb="000000"/>
          </pm:border>
        </ext>
      </extLst>
    </border>
    <border>
      <left style="thin">
        <color rgb="FF000000"/>
      </left>
      <right style="thin">
        <color rgb="FF000000"/>
      </right>
      <top style="medium">
        <color rgb="FF000000"/>
      </top>
      <bottom style="none">
        <color rgb="FF000000"/>
      </bottom>
      <extLst>
        <ext uri="smNativeData">
          <pm:border xmlns:pm="smNativeData" id="1745591196">
            <pm:line position="top" type="1" style="0" width="30" dist="20" width2="20" rgb="000000"/>
            <pm:line position="left" type="1" style="0" width="20" dist="20" width2="20" rgb="000000"/>
            <pm:line position="right" type="1" style="0" width="20" dist="20" width2="20" rgb="000000"/>
          </pm:border>
        </ext>
      </extLst>
    </border>
    <border>
      <left style="thin">
        <color rgb="FF000000"/>
      </left>
      <right style="medium">
        <color rgb="FF000000"/>
      </right>
      <top style="medium">
        <color rgb="FF000000"/>
      </top>
      <bottom style="none">
        <color rgb="FF000000"/>
      </bottom>
      <extLst>
        <ext uri="smNativeData">
          <pm:border xmlns:pm="smNativeData" id="1745591196">
            <pm:line position="top" type="1" style="0" width="30" dist="20" width2="20" rgb="000000"/>
            <pm:line position="left" type="1" style="0" width="20" dist="20" width2="20" rgb="000000"/>
            <pm:line position="right" type="1" style="0" width="30" dist="20" width2="20" rgb="000000"/>
          </pm:border>
        </ext>
      </extLst>
    </border>
    <border>
      <left style="thin">
        <color rgb="FF000000"/>
      </left>
      <right style="medium">
        <color rgb="FF000000"/>
      </right>
      <top style="thin">
        <color rgb="FF000000"/>
      </top>
      <bottom style="medium">
        <color rgb="FF000000"/>
      </bottom>
      <extLst>
        <ext uri="smNativeData">
          <pm:border xmlns:pm="smNativeData" id="1745591196">
            <pm:line position="top" type="1" style="0" width="20" dist="20" width2="20" rgb="000000"/>
            <pm:line position="bottom" type="1" style="0" width="30" dist="20" width2="20" rgb="000000"/>
            <pm:line position="left" type="1" style="0" width="20" dist="20" width2="20" rgb="000000"/>
            <pm:line position="right" type="1" style="0" width="30" dist="20" width2="20" rgb="000000"/>
          </pm:border>
        </ext>
      </extLst>
    </border>
    <border>
      <left style="thin">
        <color rgb="FF000000"/>
      </left>
      <right style="medium">
        <color rgb="FF000000"/>
      </right>
      <top style="thin">
        <color rgb="FF000000"/>
      </top>
      <bottom style="medium">
        <color rgb="FF000000"/>
      </bottom>
      <extLst>
        <ext uri="smNativeData">
          <pm:border xmlns:pm="smNativeData" id="1745591196">
            <pm:line position="top" type="1" style="0" width="20" dist="20" width2="20" rgb="000000"/>
            <pm:line position="bottom" type="1" style="0" width="30" dist="20" width2="20" rgb="000000"/>
            <pm:line position="left" type="1" style="0" width="20" dist="20" width2="20" rgb="000000"/>
            <pm:line position="right" type="1" style="0" width="30" dist="20" width2="20" rgb="000000"/>
          </pm:border>
        </ext>
      </extLst>
    </border>
    <border>
      <left style="none">
        <color rgb="FF000000"/>
      </left>
      <right style="none">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border>
        </ext>
      </extLst>
    </border>
    <border>
      <left style="none">
        <color rgb="FF000000"/>
      </left>
      <right style="thin">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medium">
        <color rgb="FF000000"/>
      </left>
      <right style="thin">
        <color rgb="FF000000"/>
      </right>
      <top style="thin">
        <color rgb="FF000000"/>
      </top>
      <bottom style="thin">
        <color rgb="FF000000"/>
      </bottom>
      <extLst>
        <ext uri="smNativeData">
          <pm:border xmlns:pm="smNativeData" id="1745591196">
            <pm:line position="top" type="1" style="0" width="20" dist="20" width2="20" rgb="000000"/>
            <pm:line position="bottom" type="1" style="0" width="20" dist="20" width2="20" rgb="000000"/>
            <pm:line position="left" type="1" style="0" width="30" dist="20" width2="20" rgb="000000"/>
            <pm:line position="right" type="1" style="0" width="20" dist="20" width2="20" rgb="000000"/>
          </pm:border>
        </ext>
      </extLst>
    </border>
    <border>
      <left style="medium">
        <color rgb="FF000000"/>
      </left>
      <right style="none">
        <color rgb="FF000000"/>
      </right>
      <top style="medium">
        <color rgb="FF000000"/>
      </top>
      <bottom style="medium">
        <color rgb="FF000000"/>
      </bottom>
      <extLst>
        <ext uri="smNativeData">
          <pm:border xmlns:pm="smNativeData" id="1745591196">
            <pm:line position="top" type="1" style="0" width="30" dist="20" width2="20" rgb="000000"/>
            <pm:line position="bottom" type="1" style="0" width="30" dist="20" width2="20" rgb="000000"/>
            <pm:line position="left" type="1" style="0" width="30" dist="20" width2="20" rgb="000000"/>
          </pm:border>
        </ext>
      </extLst>
    </border>
    <border>
      <left style="none">
        <color rgb="FF000000"/>
      </left>
      <right style="none">
        <color rgb="FF000000"/>
      </right>
      <top style="medium">
        <color rgb="FF000000"/>
      </top>
      <bottom style="medium">
        <color rgb="FF000000"/>
      </bottom>
      <extLst>
        <ext uri="smNativeData">
          <pm:border xmlns:pm="smNativeData" id="1745591196">
            <pm:line position="top" type="1" style="0" width="30" dist="20" width2="20" rgb="000000"/>
            <pm:line position="bottom" type="1" style="0" width="30" dist="20" width2="20" rgb="000000"/>
          </pm:border>
        </ext>
      </extLst>
    </border>
    <border>
      <left style="none">
        <color rgb="FF000000"/>
      </left>
      <right style="medium">
        <color rgb="FF000000"/>
      </right>
      <top style="medium">
        <color rgb="FF000000"/>
      </top>
      <bottom style="medium">
        <color rgb="FF000000"/>
      </bottom>
      <extLst>
        <ext uri="smNativeData">
          <pm:border xmlns:pm="smNativeData" id="1745591196">
            <pm:line position="top" type="1" style="0" width="30" dist="20" width2="20" rgb="000000"/>
            <pm:line position="bottom" type="1" style="0" width="30" dist="20" width2="20" rgb="000000"/>
            <pm:line position="right" type="1" style="0" width="30" dist="20" width2="20" rgb="000000"/>
          </pm:border>
        </ext>
      </extLst>
    </border>
    <border>
      <left style="medium">
        <color rgb="FF000000"/>
      </left>
      <right style="none">
        <color rgb="FF000000"/>
      </right>
      <top style="medium">
        <color rgb="FF000000"/>
      </top>
      <bottom style="none">
        <color rgb="FF000000"/>
      </bottom>
      <extLst>
        <ext uri="smNativeData">
          <pm:border xmlns:pm="smNativeData" id="1745591196">
            <pm:line position="top" type="1" style="0" width="30" dist="20" width2="20" rgb="000000"/>
            <pm:line position="left" type="1" style="0" width="30" dist="20" width2="20" rgb="000000"/>
          </pm:border>
        </ext>
      </extLst>
    </border>
    <border>
      <left style="none">
        <color rgb="FF000000"/>
      </left>
      <right style="none">
        <color rgb="FF000000"/>
      </right>
      <top style="medium">
        <color rgb="FF000000"/>
      </top>
      <bottom style="none">
        <color rgb="FF000000"/>
      </bottom>
      <extLst>
        <ext uri="smNativeData">
          <pm:border xmlns:pm="smNativeData" id="1745591196">
            <pm:line position="top" type="1" style="0" width="30" dist="20" width2="20" rgb="000000"/>
          </pm:border>
        </ext>
      </extLst>
    </border>
    <border>
      <left style="none">
        <color rgb="FF000000"/>
      </left>
      <right style="medium">
        <color rgb="FF000000"/>
      </right>
      <top style="medium">
        <color rgb="FF000000"/>
      </top>
      <bottom style="none">
        <color rgb="FF000000"/>
      </bottom>
      <extLst>
        <ext uri="smNativeData">
          <pm:border xmlns:pm="smNativeData" id="1745591196">
            <pm:line position="top" type="1" style="0" width="30" dist="20" width2="20" rgb="000000"/>
            <pm:line position="right" type="1" style="0" width="30" dist="20" width2="20" rgb="000000"/>
          </pm:border>
        </ext>
      </extLst>
    </border>
    <border>
      <left style="none">
        <color rgb="FF000000"/>
      </left>
      <right style="none">
        <color rgb="FF000000"/>
      </right>
      <top style="medium">
        <color rgb="FF000000"/>
      </top>
      <bottom style="none">
        <color rgb="FF000000"/>
      </bottom>
      <extLst>
        <ext uri="smNativeData">
          <pm:border xmlns:pm="smNativeData" id="1745591196">
            <pm:line position="top" type="1" style="0" width="30" dist="20" width2="20" rgb="000000"/>
          </pm:border>
        </ext>
      </extLst>
    </border>
    <border>
      <left style="none">
        <color rgb="FF000000"/>
      </left>
      <right style="medium">
        <color rgb="FF000000"/>
      </right>
      <top style="medium">
        <color rgb="FF000000"/>
      </top>
      <bottom style="none">
        <color rgb="FF000000"/>
      </bottom>
      <extLst>
        <ext uri="smNativeData">
          <pm:border xmlns:pm="smNativeData" id="1745591196">
            <pm:line position="top" type="1" style="0" width="30" dist="20" width2="20" rgb="000000"/>
            <pm:line position="right" type="1" style="0" width="30" dist="20" width2="20" rgb="000000"/>
          </pm:border>
        </ext>
      </extLst>
    </border>
    <border>
      <left style="medium">
        <color rgb="FF000000"/>
      </left>
      <right style="none">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left" type="1" style="0" width="30" dist="20" width2="20" rgb="000000"/>
          </pm:border>
        </ext>
      </extLst>
    </border>
    <border>
      <left style="medium">
        <color rgb="FF000000"/>
      </left>
      <right style="none">
        <color rgb="FF000000"/>
      </right>
      <top style="thin">
        <color rgb="FF000000"/>
      </top>
      <bottom style="medium">
        <color rgb="FF000000"/>
      </bottom>
      <extLst>
        <ext uri="smNativeData">
          <pm:border xmlns:pm="smNativeData" id="1745591196">
            <pm:line position="top" type="1" style="0" width="20" dist="20" width2="20" rgb="000000"/>
            <pm:line position="bottom" type="1" style="0" width="30" dist="20" width2="20" rgb="000000"/>
            <pm:line position="left" type="1" style="0" width="30" dist="20" width2="20" rgb="000000"/>
          </pm:border>
        </ext>
      </extLst>
    </border>
    <border>
      <left style="medium">
        <color rgb="FF000000"/>
      </left>
      <right style="thin">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left" type="1" style="0" width="30" dist="20" width2="20" rgb="000000"/>
            <pm:line position="right" type="1" style="0" width="20" dist="20" width2="20" rgb="000000"/>
          </pm:border>
        </ext>
      </extLst>
    </border>
    <border>
      <left style="medium">
        <color rgb="FF000000"/>
      </left>
      <right style="thin">
        <color rgb="FF000000"/>
      </right>
      <top style="thin">
        <color rgb="FF000000"/>
      </top>
      <bottom style="medium">
        <color rgb="FF000000"/>
      </bottom>
      <extLst>
        <ext uri="smNativeData">
          <pm:border xmlns:pm="smNativeData" id="1745591196">
            <pm:line position="top" type="1" style="0" width="20" dist="20" width2="20" rgb="000000"/>
            <pm:line position="bottom" type="1" style="0" width="30" dist="20" width2="20" rgb="000000"/>
            <pm:line position="left" type="1" style="0" width="30" dist="20" width2="20" rgb="000000"/>
            <pm:line position="right" type="1" style="0" width="20" dist="20" width2="20" rgb="000000"/>
          </pm:border>
        </ext>
      </extLst>
    </border>
    <border>
      <left style="thin">
        <color rgb="FF000000"/>
      </left>
      <right style="medium">
        <color rgb="FF000000"/>
      </right>
      <top style="medium">
        <color rgb="FF000000"/>
      </top>
      <bottom style="thin">
        <color rgb="FF000000"/>
      </bottom>
      <extLst>
        <ext uri="smNativeData">
          <pm:border xmlns:pm="smNativeData" id="1745591196">
            <pm:line position="top" type="1" style="0" width="30" dist="20" width2="20" rgb="000000"/>
            <pm:line position="bottom" type="1" style="0" width="20" dist="20" width2="20" rgb="000000"/>
            <pm:line position="left" type="1" style="0" width="20" dist="20" width2="20" rgb="000000"/>
            <pm:line position="right" type="1" style="0" width="30" dist="20" width2="20" rgb="000000"/>
          </pm:border>
        </ext>
      </extLst>
    </border>
    <border>
      <left style="medium">
        <color rgb="FF000000"/>
      </left>
      <right style="none">
        <color rgb="FF000000"/>
      </right>
      <top style="medium">
        <color rgb="FF000000"/>
      </top>
      <bottom style="none">
        <color rgb="FF000000"/>
      </bottom>
      <extLst>
        <ext uri="smNativeData">
          <pm:border xmlns:pm="smNativeData" id="1745591196">
            <pm:line position="top" type="1" style="0" width="30" dist="20" width2="20" rgb="000000"/>
            <pm:line position="left" type="1" style="0" width="30" dist="20" width2="20" rgb="000000"/>
          </pm:border>
        </ext>
      </extLst>
    </border>
    <border>
      <left style="none">
        <color rgb="FF000000"/>
      </left>
      <right style="none">
        <color rgb="FF000000"/>
      </right>
      <top style="none">
        <color rgb="FF000000"/>
      </top>
      <bottom style="none">
        <color rgb="FF000000"/>
      </bottom>
      <extLst>
        <ext uri="smNativeData">
          <pm:border xmlns:pm="smNativeData" id="1745591196"/>
        </ext>
      </extLst>
    </border>
    <border>
      <left style="none">
        <color rgb="FF000000"/>
      </left>
      <right style="none">
        <color rgb="FF000000"/>
      </right>
      <top style="none">
        <color rgb="FF000000"/>
      </top>
      <bottom style="none">
        <color rgb="FF000000"/>
      </bottom>
      <extLst>
        <ext uri="smNativeData">
          <pm:border xmlns:pm="smNativeData" id="1745591196"/>
        </ext>
      </extLst>
    </border>
    <border>
      <left style="none">
        <color rgb="FF000000"/>
      </left>
      <right style="none">
        <color rgb="FF000000"/>
      </right>
      <top style="none">
        <color rgb="FF000000"/>
      </top>
      <bottom style="none">
        <color rgb="FF000000"/>
      </bottom>
      <extLst>
        <ext uri="smNativeData">
          <pm:border xmlns:pm="smNativeData" id="1745591196"/>
        </ext>
      </extLst>
    </border>
  </borders>
  <cellStyleXfs count="2">
    <xf numFmtId="0" fontId="0" fillId="0" borderId="0" applyNumberFormat="1" applyFont="1" applyFill="1" applyBorder="1" applyAlignment="1" applyProtection="1"/>
    <xf numFmtId="0" fontId="9" fillId="0" borderId="0" applyNumberFormat="0" applyFont="1" applyFill="0" applyBorder="0" applyAlignment="0" applyProtection="0"/>
  </cellStyleXfs>
  <cellXfs count="160">
    <xf numFmtId="0" fontId="0" fillId="0" borderId="0" xfId="0"/>
    <xf numFmtId="0" fontId="9" fillId="0" borderId="0" xfId="1"/>
    <xf numFmtId="0" fontId="0" fillId="0" borderId="0" xfId="0" applyAlignment="1">
      <alignment horizontal="center"/>
    </xf>
    <xf numFmtId="0" fontId="0" fillId="0" borderId="0" xfId="0"/>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0" borderId="3" xfId="0" applyFill="1" applyBorder="1" applyAlignment="1">
      <alignment horizontal="center"/>
    </xf>
    <xf numFmtId="0" fontId="0" fillId="0" borderId="4" xfId="0" applyFill="1" applyBorder="1" applyAlignment="1">
      <alignment horizontal="center"/>
    </xf>
    <xf numFmtId="0" fontId="0" fillId="0" borderId="5" xfId="0" applyFill="1" applyBorder="1" applyAlignment="1">
      <alignment horizontal="center"/>
    </xf>
    <xf numFmtId="0" fontId="0" fillId="0" borderId="6" xfId="0" applyFill="1" applyBorder="1" applyAlignment="1">
      <alignment horizontal="center"/>
    </xf>
    <xf numFmtId="0" fontId="0" fillId="0" borderId="7" xfId="0" applyFill="1" applyBorder="1" applyAlignment="1">
      <alignment horizontal="center"/>
    </xf>
    <xf numFmtId="0" fontId="0" fillId="0" borderId="8" xfId="0" applyFill="1" applyBorder="1" applyAlignment="1">
      <alignment horizontal="center"/>
    </xf>
    <xf numFmtId="0" fontId="0" fillId="0" borderId="9" xfId="0" applyFill="1" applyBorder="1" applyAlignment="1">
      <alignment horizontal="center"/>
    </xf>
    <xf numFmtId="0" fontId="0" fillId="0" borderId="10" xfId="0" applyFill="1" applyBorder="1" applyAlignment="1">
      <alignment horizontal="center"/>
    </xf>
    <xf numFmtId="0" fontId="0" fillId="0" borderId="11" xfId="0" applyFill="1" applyBorder="1" applyAlignment="1">
      <alignment horizontal="center"/>
    </xf>
    <xf numFmtId="0" fontId="0" fillId="0" borderId="12" xfId="0" applyFill="1" applyBorder="1" applyAlignment="1">
      <alignment horizontal="center"/>
    </xf>
    <xf numFmtId="1" fontId="0" fillId="0" borderId="13" xfId="0" applyNumberFormat="1" applyFill="1" applyBorder="1" applyAlignment="1">
      <alignment horizontal="center"/>
    </xf>
    <xf numFmtId="0" fontId="4" fillId="0" borderId="0" xfId="0" applyFont="1"/>
    <xf numFmtId="0" fontId="3" fillId="0" borderId="0" xfId="0" applyFont="1"/>
    <xf numFmtId="0" fontId="5" fillId="0" borderId="0" xfId="0" applyFont="1" applyAlignment="1">
      <alignment horizontal="center"/>
    </xf>
    <xf numFmtId="1" fontId="0" fillId="0" borderId="11" xfId="0" applyNumberFormat="1" applyFill="1" applyBorder="1" applyAlignment="1">
      <alignment horizontal="center"/>
    </xf>
    <xf numFmtId="0" fontId="0" fillId="0" borderId="9" xfId="0" applyFill="1" applyBorder="1" applyAlignment="1">
      <alignment horizontal="center"/>
    </xf>
    <xf numFmtId="0" fontId="0" fillId="0" borderId="15" xfId="0" applyFill="1" applyBorder="1" applyAlignment="1">
      <alignment horizontal="right" vertical="top" wrapText="1"/>
    </xf>
    <xf numFmtId="1" fontId="0" fillId="0" borderId="16" xfId="0" applyNumberFormat="1" applyFill="1" applyBorder="1" applyAlignment="1">
      <alignment horizontal="center"/>
    </xf>
    <xf numFmtId="1" fontId="0" fillId="0" borderId="17" xfId="0" applyNumberFormat="1" applyFill="1" applyBorder="1" applyAlignment="1">
      <alignment horizontal="center"/>
    </xf>
    <xf numFmtId="0" fontId="0" fillId="0" borderId="5" xfId="0" applyFill="1" applyBorder="1" applyAlignment="1">
      <alignment horizontal="center"/>
    </xf>
    <xf numFmtId="0" fontId="0" fillId="0" borderId="6" xfId="0" applyFill="1" applyBorder="1" applyAlignment="1">
      <alignment horizontal="center"/>
    </xf>
    <xf numFmtId="0" fontId="0" fillId="0" borderId="7" xfId="0" applyFill="1" applyBorder="1" applyAlignment="1">
      <alignment horizontal="center"/>
    </xf>
    <xf numFmtId="0" fontId="0" fillId="19" borderId="18" xfId="0" applyFill="1" applyBorder="1" applyAlignment="1">
      <alignment horizontal="center"/>
    </xf>
    <xf numFmtId="0" fontId="0" fillId="20" borderId="19" xfId="0" applyFill="1" applyBorder="1" applyAlignment="1">
      <alignment horizontal="center"/>
    </xf>
    <xf numFmtId="0" fontId="0" fillId="21" borderId="20" xfId="0" applyFill="1" applyBorder="1" applyAlignment="1">
      <alignment horizontal="center"/>
    </xf>
    <xf numFmtId="0" fontId="0" fillId="0" borderId="10" xfId="0" applyFill="1" applyBorder="1" applyAlignment="1">
      <alignment horizontal="center"/>
    </xf>
    <xf numFmtId="0" fontId="0" fillId="0" borderId="21" xfId="0" applyFill="1" applyBorder="1" applyAlignment="1">
      <alignment horizontal="center" vertical="center" wrapText="1"/>
    </xf>
    <xf numFmtId="0" fontId="0" fillId="0" borderId="0" xfId="0" applyAlignment="1">
      <alignment horizontal="center" vertical="center" wrapText="1" textRotation="90"/>
      <extLst>
        <ext uri="smNativeData">
          <pm:cellMargin xmlns:pm="smNativeData" id="1745591196" l="0" r="0" t="0" b="0" textRotation="3"/>
        </ext>
      </extLst>
    </xf>
    <xf numFmtId="0" fontId="6" fillId="23" borderId="22" xfId="0" applyFont="1" applyFill="1" applyBorder="1" applyAlignment="1">
      <alignment wrapText="1"/>
    </xf>
    <xf numFmtId="0" fontId="5" fillId="24" borderId="23" xfId="0" applyFont="1" applyFill="1" applyBorder="1" applyAlignment="1">
      <alignment horizontal="center" wrapText="1"/>
    </xf>
    <xf numFmtId="0" fontId="5" fillId="25" borderId="24" xfId="0" applyFont="1" applyFill="1" applyBorder="1" applyAlignment="1">
      <alignment horizontal="center" wrapText="1"/>
    </xf>
    <xf numFmtId="164" fontId="6" fillId="24" borderId="23" xfId="0" applyNumberFormat="1" applyFont="1" applyFill="1" applyBorder="1" applyAlignment="1">
      <alignment wrapText="1"/>
    </xf>
    <xf numFmtId="164" fontId="6" fillId="26" borderId="25" xfId="0" applyNumberFormat="1" applyFont="1" applyFill="1" applyBorder="1" applyAlignment="1">
      <alignment wrapText="1"/>
    </xf>
    <xf numFmtId="164" fontId="6" fillId="25" borderId="24" xfId="0" applyNumberFormat="1" applyFont="1" applyFill="1" applyBorder="1" applyAlignment="1">
      <alignment wrapText="1"/>
    </xf>
    <xf numFmtId="164" fontId="6" fillId="28" borderId="27" xfId="0" applyNumberFormat="1" applyFont="1" applyFill="1" applyBorder="1" applyAlignment="1">
      <alignment horizontal="right" wrapText="1"/>
    </xf>
    <xf numFmtId="164" fontId="5" fillId="28" borderId="27" xfId="0" applyNumberFormat="1" applyFont="1" applyFill="1" applyBorder="1" applyAlignment="1">
      <alignment horizontal="center" wrapText="1"/>
    </xf>
    <xf numFmtId="164" fontId="5" fillId="29" borderId="28" xfId="0" applyNumberFormat="1" applyFont="1" applyFill="1" applyBorder="1" applyAlignment="1">
      <alignment horizontal="center" wrapText="1"/>
    </xf>
    <xf numFmtId="0" fontId="6" fillId="32" borderId="31" xfId="0" applyFont="1" applyFill="1" applyBorder="1" applyAlignment="1">
      <alignment horizontal="right" vertical="top" wrapText="1"/>
    </xf>
    <xf numFmtId="164" fontId="6" fillId="35" borderId="34" xfId="0" applyNumberFormat="1" applyFont="1" applyFill="1" applyBorder="1" applyAlignment="1">
      <alignment wrapText="1"/>
    </xf>
    <xf numFmtId="0" fontId="0" fillId="36" borderId="35" xfId="0" applyFill="1" applyBorder="1" applyAlignment="1">
      <alignment wrapText="1"/>
    </xf>
    <xf numFmtId="0" fontId="0" fillId="37" borderId="36" xfId="0" applyFill="1" applyBorder="1" applyAlignment="1">
      <alignment horizontal="left" wrapText="1" indent="2"/>
      <extLst>
        <ext uri="smNativeData">
          <pm:cellMargin xmlns:pm="smNativeData" id="1745591196" l="384" r="0" t="0" b="0" textRotation="0"/>
        </ext>
      </extLst>
    </xf>
    <xf numFmtId="164" fontId="0" fillId="38" borderId="37" xfId="0" applyNumberFormat="1" applyFill="1" applyBorder="1" applyAlignment="1">
      <alignment wrapText="1"/>
    </xf>
    <xf numFmtId="164" fontId="0" fillId="39" borderId="38" xfId="0" applyNumberFormat="1" applyFill="1" applyBorder="1" applyAlignment="1">
      <alignment wrapText="1"/>
    </xf>
    <xf numFmtId="164" fontId="0" fillId="40" borderId="39" xfId="0" applyNumberFormat="1" applyFill="1" applyBorder="1" applyAlignment="1">
      <alignment wrapText="1"/>
    </xf>
    <xf numFmtId="164" fontId="0" fillId="37" borderId="36" xfId="0" applyNumberFormat="1" applyFill="1" applyBorder="1" applyAlignment="1">
      <alignment horizontal="center" wrapText="1"/>
    </xf>
    <xf numFmtId="164" fontId="0" fillId="41" borderId="40" xfId="0" applyNumberFormat="1" applyFill="1" applyBorder="1" applyAlignment="1">
      <alignment horizontal="center" wrapText="1"/>
    </xf>
    <xf numFmtId="0" fontId="0" fillId="42" borderId="41" xfId="0" applyFill="1" applyBorder="1"/>
    <xf numFmtId="0" fontId="0" fillId="43" borderId="42" xfId="0" applyFill="1"/>
    <xf numFmtId="0" fontId="0" fillId="44" borderId="43" xfId="0" applyFill="1" applyBorder="1"/>
    <xf numFmtId="0" fontId="0" fillId="43" borderId="42" xfId="0" applyFill="1" applyAlignment="1">
      <alignment horizontal="right" indent="1"/>
      <extLst>
        <ext uri="smNativeData">
          <pm:cellMargin xmlns:pm="smNativeData" id="1745591196" l="0" r="192" t="0" b="0" textRotation="0"/>
        </ext>
      </extLst>
    </xf>
    <xf numFmtId="0" fontId="0" fillId="45" borderId="44" xfId="0" applyFill="1" applyBorder="1"/>
    <xf numFmtId="0" fontId="0" fillId="46" borderId="45" xfId="0" applyFill="1" applyBorder="1"/>
    <xf numFmtId="0" fontId="0" fillId="47" borderId="46" xfId="0" applyFill="1" applyBorder="1"/>
    <xf numFmtId="0" fontId="0" fillId="0" borderId="47" xfId="0" applyFill="1" applyBorder="1"/>
    <xf numFmtId="0" fontId="0" fillId="0" borderId="50" xfId="0" applyFill="1" applyBorder="1" applyAlignment="1">
      <alignment horizontal="center" vertical="center" wrapText="1" textRotation="90"/>
      <extLst>
        <ext uri="smNativeData">
          <pm:cellMargin xmlns:pm="smNativeData" id="1745591196" l="0" r="0" t="0" b="0" textRotation="3"/>
        </ext>
      </extLst>
    </xf>
    <xf numFmtId="0" fontId="7" fillId="63" borderId="62" xfId="0" applyFont="1" applyFill="1" applyBorder="1"/>
    <xf numFmtId="0" fontId="7" fillId="64" borderId="63" xfId="0" applyFont="1" applyFill="1" applyBorder="1"/>
    <xf numFmtId="0" fontId="8" fillId="64" borderId="63" xfId="0" applyFont="1" applyFill="1" applyBorder="1"/>
    <xf numFmtId="0" fontId="6" fillId="64" borderId="63" xfId="0" applyFont="1" applyFill="1" applyBorder="1"/>
    <xf numFmtId="0" fontId="6" fillId="65" borderId="64" xfId="0" applyFont="1" applyFill="1" applyBorder="1"/>
    <xf numFmtId="0" fontId="0" fillId="66" borderId="65" xfId="0" applyFill="1" applyBorder="1"/>
    <xf numFmtId="0" fontId="0" fillId="67" borderId="66" xfId="0" applyFill="1" applyBorder="1"/>
    <xf numFmtId="0" fontId="0" fillId="68" borderId="67" xfId="0" applyFill="1" applyBorder="1"/>
    <xf numFmtId="0" fontId="0" fillId="0" borderId="68" xfId="0" applyFill="1" applyBorder="1" applyAlignment="1">
      <alignment horizontal="center"/>
    </xf>
    <xf numFmtId="0" fontId="0" fillId="0" borderId="69" xfId="0" applyFill="1" applyBorder="1" applyAlignment="1">
      <alignment horizontal="center"/>
    </xf>
    <xf numFmtId="49" fontId="0" fillId="0" borderId="1" xfId="0" applyNumberFormat="1" applyFill="1" applyBorder="1" applyAlignment="1">
      <alignment horizontal="center"/>
    </xf>
    <xf numFmtId="49" fontId="0" fillId="0" borderId="3" xfId="0" applyNumberFormat="1" applyFill="1" applyBorder="1" applyAlignment="1">
      <alignment horizontal="center"/>
    </xf>
    <xf numFmtId="49" fontId="0" fillId="0" borderId="4" xfId="0" applyNumberFormat="1" applyFill="1" applyBorder="1" applyAlignment="1">
      <alignment horizontal="center"/>
    </xf>
    <xf numFmtId="49" fontId="0" fillId="0" borderId="2" xfId="0" applyNumberFormat="1" applyFill="1" applyBorder="1" applyAlignment="1">
      <alignment horizontal="center"/>
    </xf>
    <xf numFmtId="0" fontId="0" fillId="0" borderId="70" xfId="0" applyFill="1" applyBorder="1" applyAlignment="1">
      <alignment horizontal="center" vertical="center" wrapText="1"/>
    </xf>
    <xf numFmtId="0" fontId="0" fillId="0" borderId="71" xfId="0" applyFill="1" applyBorder="1" applyAlignment="1">
      <alignment horizontal="center" vertical="center" wrapText="1"/>
    </xf>
    <xf numFmtId="0" fontId="0" fillId="0" borderId="72" xfId="0" applyFill="1" applyBorder="1" applyAlignment="1">
      <alignment horizontal="center" vertical="center" wrapText="1"/>
    </xf>
    <xf numFmtId="0" fontId="0" fillId="0" borderId="73" xfId="0" applyFill="1" applyBorder="1" applyAlignment="1">
      <alignment horizontal="center" vertical="center" wrapText="1"/>
    </xf>
    <xf numFmtId="0" fontId="0" fillId="0" borderId="74" xfId="0" applyFill="1" applyBorder="1" applyAlignment="1">
      <alignment horizontal="center" vertical="center" wrapText="1"/>
    </xf>
    <xf numFmtId="0" fontId="0" fillId="0" borderId="57" xfId="0" applyFill="1" applyBorder="1" applyAlignment="1">
      <alignment horizontal="center" vertical="center" wrapText="1"/>
    </xf>
    <xf numFmtId="0" fontId="0" fillId="0" borderId="75" xfId="0" applyFill="1" applyBorder="1" applyAlignment="1">
      <alignment horizontal="center" vertical="center" wrapText="1"/>
    </xf>
    <xf numFmtId="0" fontId="0" fillId="0" borderId="68" xfId="0" applyFill="1" applyBorder="1" applyAlignment="1">
      <alignment horizontal="center" vertical="center" wrapText="1"/>
    </xf>
    <xf numFmtId="0" fontId="0" fillId="0" borderId="69" xfId="0" applyFill="1" applyBorder="1" applyAlignment="1">
      <alignment horizontal="center" vertical="center" wrapText="1"/>
    </xf>
    <xf numFmtId="0" fontId="0" fillId="0" borderId="75" xfId="0" applyFill="1" applyBorder="1" applyAlignment="1">
      <alignment horizontal="center" vertical="center" wrapText="1"/>
    </xf>
    <xf numFmtId="0" fontId="0" fillId="0" borderId="68" xfId="0" applyFill="1" applyBorder="1" applyAlignment="1">
      <alignment horizontal="center" vertical="center" wrapText="1"/>
    </xf>
    <xf numFmtId="0" fontId="0" fillId="0" borderId="69" xfId="0" applyFill="1" applyBorder="1" applyAlignment="1">
      <alignment horizontal="center" vertical="center" wrapText="1"/>
    </xf>
    <xf numFmtId="0" fontId="0" fillId="0" borderId="15" xfId="0" applyFill="1" applyBorder="1" applyAlignment="1">
      <alignment horizontal="center" vertical="center" wrapText="1" textRotation="90"/>
      <extLst>
        <ext uri="smNativeData">
          <pm:cellMargin xmlns:pm="smNativeData" id="1745591196" l="0" r="0" t="0" b="0" textRotation="3"/>
        </ext>
      </extLst>
    </xf>
    <xf numFmtId="0" fontId="0" fillId="0" borderId="1" xfId="0" applyFill="1" applyBorder="1" applyAlignment="1">
      <alignment horizontal="center" vertical="center" wrapText="1" textRotation="90"/>
      <extLst>
        <ext uri="smNativeData">
          <pm:cellMargin xmlns:pm="smNativeData" id="1745591196" l="0" r="0" t="0" b="0" textRotation="3"/>
        </ext>
      </extLst>
    </xf>
    <xf numFmtId="0" fontId="0" fillId="0" borderId="0" xfId="0" applyAlignment="1">
      <alignment vertical="top"/>
    </xf>
    <xf numFmtId="0" fontId="0" fillId="0" borderId="0" xfId="0" applyAlignment="1">
      <alignment horizontal="center" vertical="top"/>
    </xf>
    <xf numFmtId="0" fontId="10" fillId="0" borderId="0" xfId="1" applyFont="1" applyAlignment="1">
      <alignment vertical="top"/>
    </xf>
    <xf numFmtId="0" fontId="0" fillId="0" borderId="0" xfId="0" applyAlignment="1">
      <alignment vertical="top"/>
    </xf>
    <xf numFmtId="0" fontId="5" fillId="0" borderId="0" xfId="0" applyFont="1" applyAlignment="1">
      <alignment horizontal="center" vertical="top"/>
    </xf>
    <xf numFmtId="0" fontId="0" fillId="0" borderId="0" xfId="0" applyAlignment="1">
      <alignment horizontal="center" vertical="top"/>
    </xf>
    <xf numFmtId="0" fontId="0" fillId="0" borderId="70" xfId="0" applyFill="1" applyBorder="1" applyAlignment="1">
      <alignment horizontal="center" vertical="top" wrapText="1"/>
    </xf>
    <xf numFmtId="0" fontId="0" fillId="0" borderId="72" xfId="0" applyFill="1" applyBorder="1" applyAlignment="1">
      <alignment horizontal="center" vertical="top" wrapText="1"/>
    </xf>
    <xf numFmtId="0" fontId="0" fillId="0" borderId="74" xfId="0" applyFill="1" applyBorder="1" applyAlignment="1">
      <alignment horizontal="center" vertical="top" wrapText="1"/>
    </xf>
    <xf numFmtId="0" fontId="0" fillId="0" borderId="75" xfId="0" applyFill="1" applyBorder="1" applyAlignment="1">
      <alignment horizontal="center" vertical="top" wrapText="1"/>
    </xf>
    <xf numFmtId="0" fontId="0" fillId="0" borderId="68" xfId="0" applyFill="1" applyBorder="1" applyAlignment="1">
      <alignment horizontal="center" vertical="top" wrapText="1"/>
    </xf>
    <xf numFmtId="0" fontId="0" fillId="0" borderId="69" xfId="0" applyFill="1" applyBorder="1" applyAlignment="1">
      <alignment horizontal="center" vertical="top" wrapText="1"/>
    </xf>
    <xf numFmtId="0" fontId="0" fillId="0" borderId="75" xfId="0" applyFill="1" applyBorder="1" applyAlignment="1">
      <alignment horizontal="center" vertical="top" wrapText="1"/>
    </xf>
    <xf numFmtId="0" fontId="0" fillId="0" borderId="69" xfId="0" applyFill="1" applyBorder="1" applyAlignment="1">
      <alignment horizontal="center" vertical="top" wrapText="1"/>
    </xf>
    <xf numFmtId="0" fontId="0" fillId="0" borderId="68" xfId="0" applyFill="1" applyBorder="1" applyAlignment="1">
      <alignment horizontal="center" vertical="top"/>
    </xf>
    <xf numFmtId="0" fontId="0" fillId="0" borderId="69" xfId="0" applyFill="1" applyBorder="1" applyAlignment="1">
      <alignment horizontal="center" vertical="top"/>
    </xf>
    <xf numFmtId="0" fontId="0" fillId="0" borderId="71" xfId="0" applyFill="1" applyBorder="1" applyAlignment="1">
      <alignment horizontal="center" vertical="top" wrapText="1"/>
    </xf>
    <xf numFmtId="0" fontId="0" fillId="0" borderId="73" xfId="0" applyFill="1" applyBorder="1" applyAlignment="1">
      <alignment horizontal="center" vertical="top" wrapText="1"/>
    </xf>
    <xf numFmtId="0" fontId="0" fillId="0" borderId="57" xfId="0" applyFill="1" applyBorder="1" applyAlignment="1">
      <alignment horizontal="center" vertical="top" wrapText="1"/>
    </xf>
    <xf numFmtId="0" fontId="6" fillId="23" borderId="22" xfId="0" applyFont="1" applyFill="1" applyBorder="1" applyAlignment="1">
      <alignment vertical="top" wrapText="1"/>
    </xf>
    <xf numFmtId="0" fontId="5" fillId="24" borderId="23" xfId="0" applyFont="1" applyFill="1" applyBorder="1" applyAlignment="1">
      <alignment horizontal="center" vertical="top" wrapText="1"/>
    </xf>
    <xf numFmtId="0" fontId="5" fillId="31" borderId="30" xfId="0" applyFont="1" applyFill="1" applyBorder="1" applyAlignment="1">
      <alignment horizontal="center" vertical="top" wrapText="1"/>
    </xf>
    <xf numFmtId="164" fontId="6" fillId="27" borderId="26" xfId="0" applyNumberFormat="1" applyFont="1" applyFill="1" applyBorder="1" applyAlignment="1">
      <alignment vertical="top" wrapText="1"/>
    </xf>
    <xf numFmtId="164" fontId="6" fillId="55" borderId="54" xfId="0" applyNumberFormat="1" applyFont="1" applyFill="1" applyBorder="1" applyAlignment="1">
      <alignment vertical="top" wrapText="1"/>
    </xf>
    <xf numFmtId="164" fontId="6" fillId="56" borderId="55" xfId="0" applyNumberFormat="1" applyFont="1" applyFill="1" applyBorder="1" applyAlignment="1">
      <alignment vertical="top" wrapText="1"/>
    </xf>
    <xf numFmtId="0" fontId="0" fillId="0" borderId="5" xfId="0" applyFill="1" applyBorder="1" applyAlignment="1">
      <alignment horizontal="center" vertical="top"/>
    </xf>
    <xf numFmtId="0" fontId="0" fillId="0" borderId="6" xfId="0" applyFill="1" applyBorder="1" applyAlignment="1">
      <alignment horizontal="center" vertical="top"/>
    </xf>
    <xf numFmtId="0" fontId="0" fillId="0" borderId="7" xfId="0" applyFill="1" applyBorder="1" applyAlignment="1">
      <alignment horizontal="center" vertical="top"/>
    </xf>
    <xf numFmtId="0" fontId="0" fillId="0" borderId="8" xfId="0" applyFill="1" applyBorder="1" applyAlignment="1">
      <alignment horizontal="center" vertical="top"/>
    </xf>
    <xf numFmtId="0" fontId="0" fillId="36" borderId="35" xfId="0" applyFill="1" applyBorder="1" applyAlignment="1">
      <alignment vertical="top" wrapText="1"/>
    </xf>
    <xf numFmtId="1" fontId="0" fillId="0" borderId="13" xfId="0" applyNumberFormat="1" applyFill="1" applyBorder="1" applyAlignment="1">
      <alignment horizontal="center" vertical="top"/>
    </xf>
    <xf numFmtId="1" fontId="0" fillId="0" borderId="14" xfId="0" applyNumberFormat="1" applyFill="1" applyBorder="1" applyAlignment="1">
      <alignment horizontal="center" vertical="top"/>
    </xf>
    <xf numFmtId="164" fontId="0" fillId="52" borderId="51" xfId="0" applyNumberFormat="1" applyFill="1" applyBorder="1" applyAlignment="1">
      <alignment vertical="top" wrapText="1"/>
    </xf>
    <xf numFmtId="164" fontId="6" fillId="28" borderId="27" xfId="0" applyNumberFormat="1" applyFont="1" applyFill="1" applyBorder="1" applyAlignment="1">
      <alignment vertical="top" wrapText="1"/>
    </xf>
    <xf numFmtId="164" fontId="0" fillId="38" borderId="37" xfId="0" applyNumberFormat="1" applyFill="1" applyBorder="1" applyAlignment="1">
      <alignment vertical="top" wrapText="1"/>
    </xf>
    <xf numFmtId="164" fontId="6" fillId="54" borderId="53" xfId="0" applyNumberFormat="1" applyFont="1" applyFill="1" applyBorder="1" applyAlignment="1">
      <alignment vertical="top" wrapText="1"/>
    </xf>
    <xf numFmtId="0" fontId="0" fillId="0" borderId="9" xfId="0" applyFill="1" applyBorder="1" applyAlignment="1">
      <alignment horizontal="center" vertical="top"/>
    </xf>
    <xf numFmtId="0" fontId="0" fillId="0" borderId="10" xfId="0" applyFill="1" applyBorder="1" applyAlignment="1">
      <alignment horizontal="center" vertical="top"/>
    </xf>
    <xf numFmtId="0" fontId="0" fillId="0" borderId="11" xfId="0" applyFill="1" applyBorder="1" applyAlignment="1">
      <alignment horizontal="center" vertical="top"/>
    </xf>
    <xf numFmtId="0" fontId="0" fillId="0" borderId="12" xfId="0" applyFill="1" applyBorder="1" applyAlignment="1">
      <alignment horizontal="center" vertical="top"/>
    </xf>
    <xf numFmtId="0" fontId="0" fillId="37" borderId="36" xfId="0" applyFill="1" applyBorder="1" applyAlignment="1">
      <alignment horizontal="left" vertical="top" wrapText="1" indent="2"/>
      <extLst>
        <ext uri="smNativeData">
          <pm:cellMargin xmlns:pm="smNativeData" id="1745591196" l="384" r="0" t="0" b="0" textRotation="0"/>
        </ext>
      </extLst>
    </xf>
    <xf numFmtId="164" fontId="0" fillId="41" borderId="40" xfId="0" applyNumberFormat="1" applyFill="1" applyBorder="1" applyAlignment="1">
      <alignment horizontal="center" vertical="top" wrapText="1"/>
    </xf>
    <xf numFmtId="164" fontId="5" fillId="54" borderId="53" xfId="0" applyNumberFormat="1" applyFont="1" applyFill="1" applyBorder="1" applyAlignment="1">
      <alignment horizontal="center" vertical="top" wrapText="1"/>
    </xf>
    <xf numFmtId="164" fontId="0" fillId="37" borderId="36" xfId="0" applyNumberFormat="1" applyFill="1" applyBorder="1" applyAlignment="1">
      <alignment horizontal="center" vertical="top" wrapText="1"/>
    </xf>
    <xf numFmtId="164" fontId="6" fillId="31" borderId="30" xfId="0" applyNumberFormat="1" applyFont="1" applyFill="1" applyBorder="1" applyAlignment="1">
      <alignment vertical="top" wrapText="1"/>
    </xf>
    <xf numFmtId="164" fontId="0" fillId="39" borderId="38" xfId="0" applyNumberFormat="1" applyFill="1" applyBorder="1" applyAlignment="1">
      <alignment vertical="top" wrapText="1"/>
    </xf>
    <xf numFmtId="164" fontId="6" fillId="54" borderId="53" xfId="0" applyNumberFormat="1" applyFont="1" applyFill="1" applyBorder="1" applyAlignment="1">
      <alignment horizontal="right" vertical="top" wrapText="1"/>
    </xf>
    <xf numFmtId="0" fontId="6" fillId="30" borderId="29" xfId="0" applyFont="1" applyFill="1" applyBorder="1" applyAlignment="1">
      <alignment vertical="top" wrapText="1"/>
    </xf>
    <xf numFmtId="0" fontId="5" fillId="27" borderId="26" xfId="0" applyFont="1" applyFill="1" applyBorder="1" applyAlignment="1">
      <alignment horizontal="center" vertical="top" wrapText="1"/>
    </xf>
    <xf numFmtId="0" fontId="0" fillId="49" borderId="48" xfId="0" applyFill="1" applyBorder="1" applyAlignment="1">
      <alignment vertical="top" wrapText="1"/>
    </xf>
    <xf numFmtId="1" fontId="0" fillId="0" borderId="10" xfId="0" applyNumberFormat="1" applyFill="1" applyBorder="1" applyAlignment="1">
      <alignment horizontal="center" vertical="top"/>
    </xf>
    <xf numFmtId="0" fontId="0" fillId="50" borderId="49" xfId="0" applyFill="1" applyBorder="1" applyAlignment="1">
      <alignment horizontal="left" vertical="top" wrapText="1" indent="2"/>
      <extLst>
        <ext uri="smNativeData">
          <pm:cellMargin xmlns:pm="smNativeData" id="1745591196" l="384" r="0" t="0" b="0" textRotation="0"/>
        </ext>
      </extLst>
    </xf>
    <xf numFmtId="164" fontId="0" fillId="59" borderId="58" xfId="0" applyNumberFormat="1" applyFill="1" applyBorder="1" applyAlignment="1">
      <alignment horizontal="center" vertical="top" wrapText="1"/>
    </xf>
    <xf numFmtId="164" fontId="0" fillId="36" borderId="35" xfId="0" applyNumberFormat="1" applyFill="1" applyBorder="1" applyAlignment="1">
      <alignment horizontal="center" vertical="top" wrapText="1"/>
    </xf>
    <xf numFmtId="164" fontId="0" fillId="60" borderId="59" xfId="0" applyNumberFormat="1" applyFill="1" applyBorder="1" applyAlignment="1">
      <alignment vertical="top" wrapText="1"/>
    </xf>
    <xf numFmtId="164" fontId="0" fillId="61" borderId="60" xfId="0" applyNumberFormat="1" applyFill="1" applyBorder="1" applyAlignment="1">
      <alignment vertical="top" wrapText="1"/>
    </xf>
    <xf numFmtId="164" fontId="0" fillId="62" borderId="61" xfId="0" applyNumberFormat="1" applyFill="1" applyBorder="1" applyAlignment="1">
      <alignment vertical="top" wrapText="1"/>
    </xf>
    <xf numFmtId="1" fontId="5" fillId="33" borderId="32" xfId="0" applyNumberFormat="1" applyFont="1" applyFill="1" applyBorder="1" applyAlignment="1">
      <alignment horizontal="center" vertical="top"/>
    </xf>
    <xf numFmtId="1" fontId="5" fillId="34" borderId="33" xfId="0" applyNumberFormat="1" applyFont="1" applyFill="1" applyBorder="1" applyAlignment="1">
      <alignment horizontal="center" vertical="top"/>
    </xf>
    <xf numFmtId="164" fontId="6" fillId="35" borderId="34" xfId="0" applyNumberFormat="1" applyFont="1" applyFill="1" applyBorder="1" applyAlignment="1">
      <alignment vertical="top" wrapText="1"/>
    </xf>
    <xf numFmtId="0" fontId="0" fillId="0" borderId="0" xfId="0" applyAlignment="1">
      <alignment vertical="top"/>
    </xf>
    <xf numFmtId="0" fontId="0" fillId="0" borderId="21" xfId="0" applyFill="1" applyBorder="1" applyAlignment="1">
      <alignment horizontal="center" wrapText="1"/>
    </xf>
    <xf numFmtId="1" fontId="5" fillId="24" borderId="23" xfId="0" applyNumberFormat="1" applyFont="1" applyFill="1" applyBorder="1" applyAlignment="1">
      <alignment horizontal="center" vertical="top" wrapText="1"/>
    </xf>
    <xf numFmtId="1" fontId="5" fillId="31" borderId="30" xfId="0" applyNumberFormat="1" applyFont="1" applyFill="1" applyBorder="1" applyAlignment="1">
      <alignment horizontal="center" vertical="top" wrapText="1"/>
    </xf>
    <xf numFmtId="1" fontId="5" fillId="24" borderId="23" xfId="0" applyNumberFormat="1" applyFont="1" applyFill="1" applyBorder="1" applyAlignment="1">
      <alignment horizontal="center" vertical="top" wrapText="1"/>
    </xf>
    <xf numFmtId="1" fontId="5" fillId="31" borderId="30" xfId="0" applyNumberFormat="1" applyFont="1" applyFill="1" applyBorder="1" applyAlignment="1">
      <alignment horizontal="center" vertical="top" wrapText="1"/>
    </xf>
    <xf numFmtId="1" fontId="0" fillId="0" borderId="0" xfId="0" applyNumberFormat="1" applyAlignment="1">
      <alignment vertical="top"/>
    </xf>
    <xf numFmtId="1" fontId="0" fillId="0" borderId="0" xfId="0" applyNumberFormat="1" applyAlignment="1">
      <alignment vertical="top"/>
    </xf>
    <xf numFmtId="1" fontId="0" fillId="0" borderId="0" xfId="0" applyNumberFormat="1" applyAlignment="1">
      <alignment vertical="top"/>
    </xf>
    <xf numFmtId="1" fontId="0" fillId="0" borderId="0" xfId="0" applyNumberFormat="1" applyAlignment="1">
      <alignment vertical="top"/>
    </xf>
  </cellXfs>
  <cellStyles count="2">
    <cellStyle name="Normal" xfId="0" builtinId="0" customBuiltin="1"/>
    <cellStyle name="Hyperlink" xfId="1" builtinId="8" customBuiltin="1"/>
  </cellStyles>
  <dxfs count="21">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
      <fill>
        <patternFill patternType="solid">
          <bgColor rgb="FFF79646"/>
          <extLst>
            <ext uri="smNativeData">
              <pm:shade xmlns:pm="smNativeData" id="1745591196" type="1" fgLvl="100" fgClr="00F79646" bgLvl="100" bgClr="FFFFFFFF"/>
            </ext>
          </extLst>
        </patternFill>
      </fill>
    </dxf>
  </dxfs>
  <tableStyles count="0"/>
  <extLst>
    <ext uri="smNativeData">
      <pm:charStyles xmlns:pm="smNativeData" id="1745591196" count="1">
        <pm:charStyle name="Normal" fontId="0" Id="1"/>
      </pm:charStyles>
      <pm:colors xmlns:pm="smNativeData" id="1745591196" count="13">
        <pm:color name="Colour 24" rgb="FFC000"/>
        <pm:color name="Colour 25" rgb="366092"/>
        <pm:color name="Colour 26" rgb="95B3D7"/>
        <pm:color name="Colour 27" rgb="B8CCE4"/>
        <pm:color name="Colour 28" rgb="DCE6F1"/>
        <pm:color name="Colour 29" rgb="244062"/>
        <pm:color name="Colour 30" rgb="F79646"/>
        <pm:color name="Colour 31" rgb="0070C0"/>
        <pm:color name="Colour 32" rgb="C00000"/>
        <pm:color name="Colour 33" rgb="00B050"/>
        <pm:color name="Colour 34" rgb="EEECE1"/>
        <pm:color name="Colour 35" rgb="4A462B"/>
        <pm:color name="Colour 36" rgb="7030A0"/>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0</xdr:col>
      <xdr:colOff>33020</xdr:colOff>
      <xdr:row>10</xdr:row>
      <xdr:rowOff>81280</xdr:rowOff>
    </xdr:from>
    <xdr:to>
      <xdr:col>12</xdr:col>
      <xdr:colOff>358140</xdr:colOff>
      <xdr:row>41</xdr:row>
      <xdr:rowOff>127635</xdr:rowOff>
    </xdr:to>
    <xdr:sp macro="" fLocksText="0">
      <xdr:nvSpPr>
        <xdr:cNvPr id="5" name="TextBox 1"/>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EAAAAAAAAA3OfxAAAAAAAAAAAAAAAAAAAAAAAAAAAAAAAAAAAAAAAAAAAAeAAAAAEAAABAAAAAAAAAAAAAAABaAAAAAAAAAAAAAAAAAAAAAAAAAAAAAAAAAAAAAAAAAAAAAAAAAAAAAAAAAAAAAAAAAAAAAAAAAAAAAAAAAAAAAAAAAAAAAAAAAAAAFAAAADwAAAABAAAAAAAAALjM5AAPAAAAAQAAACMAAAAjAAAAIwAAAB4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NDhpTU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oAAAAAAAAAqAE2ACkAAAAMAAAAmgJMAjQAAACSDAAAFDAAALQlAAABAAAAMAAAABQAAAAAAAAAAAD//wAAAQAAAP//AAABAA=="/>
            </a:ext>
          </a:extLst>
        </xdr:cNvSpPr>
      </xdr:nvSpPr>
      <xdr:spPr>
        <a:xfrm>
          <a:off x="33020" y="2043430"/>
          <a:ext cx="7815580" cy="6129020"/>
        </a:xfrm>
        <a:prstGeom prst="rect">
          <a:avLst/>
        </a:prstGeom>
        <a:solidFill>
          <a:srgbClr val="DCE7F1"/>
        </a:solidFill>
        <a:ln w="9525" cap="flat">
          <a:solidFill>
            <a:srgbClr val="B8CCE4"/>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1" i="0" u="none" strike="noStrike" kern="100" baseline="0">
              <a:solidFill>
                <a:srgbClr val="000000"/>
              </a:solidFill>
              <a:latin typeface="Calibri" pitchFamily="2" charset="0"/>
              <a:ea typeface="Basic Sans" charset="0"/>
              <a:cs typeface="Basic Sans" charset="0"/>
            </a:rPr>
            <a:t>- WP - tasks:  Title</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This column contains the name of the Work Packages (WP), Tasks and Deliverables of the project.</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The inclusion of sub-tasks is not allowed.</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You must name all the WP, Tasks and Deliverables described within the proposal, filling out as many lines as necessary</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You may add as many WP, Tasks and Deliverables as required by the project</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It is mandatory to include the following Work Packages:</a:t>
          </a:r>
        </a:p>
        <a:p>
          <a:pPr marL="1371600" algn="l" defTabSz="360045" rtl="0">
            <a:defRPr sz="1000"/>
          </a:pPr>
          <a:r>
            <a:rPr lang="en-us" sz="1100" b="0" i="0" u="none" strike="noStrike" kern="100" baseline="0">
              <a:solidFill>
                <a:srgbClr val="000000"/>
              </a:solidFill>
              <a:latin typeface="Calibri" pitchFamily="2" charset="0"/>
              <a:ea typeface="Basic Sans" charset="0"/>
              <a:cs typeface="Basic Sans" charset="0"/>
            </a:rPr>
            <a:t>- Coordination, project management and reporting</a:t>
          </a:r>
        </a:p>
        <a:p>
          <a:pPr marL="1371600" algn="l" defTabSz="360045" rtl="0">
            <a:defRPr sz="1000"/>
          </a:pPr>
          <a:r>
            <a:rPr lang="en-us" sz="1100" b="0" i="0" u="none" strike="noStrike" kern="100" baseline="0">
              <a:solidFill>
                <a:srgbClr val="000000"/>
              </a:solidFill>
              <a:latin typeface="Calibri" pitchFamily="2" charset="0"/>
              <a:ea typeface="Basic Sans" charset="0"/>
              <a:cs typeface="Basic Sans" charset="0"/>
            </a:rPr>
            <a:t>- Valorisation / Dissemination / Exploitation of results</a:t>
          </a:r>
        </a:p>
        <a:p>
          <a:pPr marL="457200" algn="l" defTabSz="360045" rtl="0">
            <a:defRPr sz="1000"/>
          </a:pPr>
        </a:p>
        <a:p>
          <a:pPr algn="l" defTabSz="360045" rtl="0">
            <a:defRPr sz="1000"/>
          </a:pPr>
          <a:r>
            <a:rPr lang="en-us" sz="1100" b="1" i="0" u="none" strike="noStrike" kern="100" baseline="0">
              <a:solidFill>
                <a:srgbClr val="000000"/>
              </a:solidFill>
              <a:latin typeface="Calibri" pitchFamily="2" charset="0"/>
              <a:ea typeface="Basic Sans" charset="0"/>
              <a:cs typeface="Basic Sans" charset="0"/>
            </a:rPr>
            <a:t>- Start Month &amp; End Month</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These columns must be filled in with the number of the month in which a given Task begins (Start Month)</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and the number of the month in which the same Task ends (End Month).</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They express the duration of the tasks, and enable the deliverables to be positioned within them.</a:t>
          </a:r>
        </a:p>
        <a:p>
          <a:pPr marL="1371600" algn="l" defTabSz="360045" rtl="0">
            <a:defRPr sz="1000"/>
          </a:pPr>
          <a:r>
            <a:rPr lang="en-us" sz="1100" b="0" i="0" u="none" strike="noStrike" kern="100" baseline="0">
              <a:solidFill>
                <a:srgbClr val="000000"/>
              </a:solidFill>
              <a:latin typeface="Calibri" pitchFamily="2" charset="0"/>
              <a:ea typeface="Basic Sans" charset="0"/>
              <a:cs typeface="Basic Sans" charset="0"/>
            </a:rPr>
            <a:t>Example: Task 1.1. Start at the beginning of the 3rd month of the project and lasts 4 months</a:t>
          </a:r>
        </a:p>
        <a:p>
          <a:pPr marL="1371600" algn="l" defTabSz="360045" rtl="0">
            <a:defRPr sz="1000"/>
          </a:pPr>
          <a:r>
            <a:rPr lang="en-us" sz="1100" b="0" i="0" u="none" strike="noStrike" kern="100" baseline="0">
              <a:solidFill>
                <a:srgbClr val="000000"/>
              </a:solidFill>
              <a:latin typeface="Calibri" pitchFamily="2" charset="0"/>
              <a:ea typeface="Basic Sans" charset="0"/>
              <a:cs typeface="Basic Sans" charset="0"/>
            </a:rPr>
            <a:t>                  Start month = 3;  End month = 6</a:t>
          </a:r>
        </a:p>
        <a:p>
          <a:pPr marL="1828800" algn="l" defTabSz="360045" rtl="0">
            <a:defRPr sz="1000"/>
          </a:pPr>
          <a:r>
            <a:rPr lang="en-us" sz="1100" b="0" i="0" u="none" strike="noStrike" kern="100" baseline="0">
              <a:solidFill>
                <a:srgbClr val="000000"/>
              </a:solidFill>
              <a:latin typeface="Calibri" pitchFamily="2" charset="0"/>
              <a:ea typeface="Basic Sans" charset="0"/>
              <a:cs typeface="Basic Sans" charset="0"/>
            </a:rPr>
            <a:t>   Deliverable 1.1.1. must be completed during the 4th month of the project</a:t>
          </a:r>
        </a:p>
        <a:p>
          <a:pPr marL="1828800" algn="l" defTabSz="360045" rtl="0">
            <a:defRPr sz="1000"/>
          </a:pPr>
          <a:r>
            <a:rPr lang="en-us" sz="1100" b="0" i="0" u="none" strike="noStrike" kern="100" baseline="0">
              <a:solidFill>
                <a:srgbClr val="000000"/>
              </a:solidFill>
              <a:latin typeface="Calibri" pitchFamily="2" charset="0"/>
              <a:ea typeface="Basic Sans" charset="0"/>
              <a:cs typeface="Basic Sans" charset="0"/>
            </a:rPr>
            <a:t>   Start month = 4; End month = 4</a:t>
          </a:r>
        </a:p>
        <a:p>
          <a:pPr algn="l" defTabSz="360045" rtl="0">
            <a:defRPr sz="1000"/>
          </a:pPr>
        </a:p>
        <a:p>
          <a:pPr algn="l" defTabSz="360045" rtl="0">
            <a:defRPr sz="1000"/>
          </a:pPr>
          <a:r>
            <a:rPr lang="en-us" sz="1100" b="1" i="0" u="none" strike="noStrike" kern="100" baseline="0">
              <a:solidFill>
                <a:srgbClr val="000000"/>
              </a:solidFill>
              <a:latin typeface="Calibri" pitchFamily="2" charset="0"/>
              <a:ea typeface="Basic Sans" charset="0"/>
              <a:cs typeface="Basic Sans" charset="0"/>
            </a:rPr>
            <a:t>- Person-months DFR Project</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Headings of these columns refer to the names of  the researchers funded by the project.</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You must indicate the name and the diploma/degree of the technicians/researchers funded </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by the project. If the researcher is to be hired, simply write "To be hired" and indicate the required diploma/degree.</a:t>
          </a:r>
        </a:p>
        <a:p>
          <a:pPr algn="l" defTabSz="360045" rtl="0">
            <a:defRPr sz="1000"/>
          </a:pPr>
        </a:p>
        <a:p>
          <a:pPr algn="l" defTabSz="360045" rtl="0">
            <a:defRPr sz="1000"/>
          </a:pPr>
          <a:r>
            <a:rPr lang="en-us" sz="1100" b="1" i="0" u="none" strike="noStrike" kern="100" baseline="0">
              <a:solidFill>
                <a:srgbClr val="000000"/>
              </a:solidFill>
              <a:latin typeface="Calibri" pitchFamily="2" charset="0"/>
              <a:ea typeface="Basic Sans" charset="0"/>
              <a:cs typeface="Basic Sans" charset="0"/>
            </a:rPr>
            <a:t>- Person-months other sources</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Headings of these columns refer to the names of  the researchers not funded by the project.</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Other sources of funding may include: payment of salaries by institutions other than </a:t>
          </a:r>
          <a:r>
            <a:rPr lang="en-us" sz="1100" b="1" i="1" u="none" strike="noStrike" kern="100" baseline="0">
              <a:solidFill>
                <a:srgbClr val="000000"/>
              </a:solidFill>
              <a:latin typeface="Calibri" pitchFamily="2" charset="0"/>
              <a:ea typeface="Basic Sans" charset="0"/>
              <a:cs typeface="Basic Sans" charset="0"/>
            </a:rPr>
            <a:t>RMA-P or Defence</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and/or via other projects, voluntary contributions, contributions in kind, etc.</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You must indicate the name and the diploma/degree of the researchers who are not funded by the </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project.</a:t>
          </a:r>
        </a:p>
        <a:p>
          <a:pPr marL="457200" algn="l" defTabSz="360045" rtl="0">
            <a:defRPr sz="1000"/>
          </a:pPr>
        </a:p>
        <a:p>
          <a:pPr algn="l" defTabSz="360045" rtl="0">
            <a:defRPr sz="1000"/>
          </a:pPr>
          <a:r>
            <a:rPr lang="en-us" sz="1100" b="1" i="0" u="none" strike="noStrike" kern="100" baseline="0">
              <a:solidFill>
                <a:srgbClr val="000000"/>
              </a:solidFill>
              <a:latin typeface="Calibri" pitchFamily="2" charset="0"/>
              <a:ea typeface="Basic Sans" charset="0"/>
              <a:cs typeface="Basic Sans" charset="0"/>
            </a:rPr>
            <a:t>- Months</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Headings of these columns correspond to the duration of the project, expressed in months.</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As you enter the duration (Start Month &amp; End Month) of the Tasks for each Work Package, you will see that their duration </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appears in the form of orange bars.</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You do not need to fill in this part of the table - it fills in automatically.</a:t>
          </a:r>
        </a:p>
        <a:p>
          <a:pPr marL="457200" algn="l" defTabSz="360045" rtl="0">
            <a:defRPr sz="1000"/>
          </a:pPr>
        </a:p>
        <a:p>
          <a:pPr marL="457200" algn="l" defTabSz="360045" rtl="0">
            <a:defRPr sz="1000"/>
          </a:pPr>
        </a:p>
        <a:p>
          <a:pPr marL="457200" algn="l" defTabSz="360045" rtl="0">
            <a:defRPr sz="1000"/>
          </a:pPr>
        </a:p>
      </xdr:txBody>
    </xdr:sp>
    <xdr:clientData/>
  </xdr:twoCellAnchor>
  <xdr:twoCellAnchor editAs="oneCell">
    <xdr:from>
      <xdr:col>0</xdr:col>
      <xdr:colOff>27305</xdr:colOff>
      <xdr:row>0</xdr:row>
      <xdr:rowOff>50165</xdr:rowOff>
    </xdr:from>
    <xdr:to>
      <xdr:col>22</xdr:col>
      <xdr:colOff>237490</xdr:colOff>
      <xdr:row>4</xdr:row>
      <xdr:rowOff>43180</xdr:rowOff>
    </xdr:to>
    <xdr:sp macro="" fLocksText="0">
      <xdr:nvSpPr>
        <xdr:cNvPr id="4" name="TextBox 5"/>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EAAAAAAAAA3OfxAAAAAAAAAAAAAAAAAAAAAAAAAAAAAAAAAAAAAAAAAAAAeAAAAAEAAABAAAAAAAAAAAAAAABaAAAAAAAAAAAAAAAAAAAAAAAAAAAAAAAAAAAAAAAAAAAAAAAAAAAAAAAAAAAAAAAAAAAAAAAAAAAAAAAAAAAAAAAAAAAAAAAAAAAAFAAAADwAAAABAAAAAAAAALjM5AAPAAAAAQAAACMAAAAjAAAAIwAAAB4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OC/2QE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AAAAAAAAAABgEtAAQAAAAWAAAA4QCGASsAAABPAAAAxVUAAMkEAAABAAAAMAAAABQAAAAAAAAAAAD//wAAAQAAAP//AAABAA=="/>
            </a:ext>
          </a:extLst>
        </xdr:cNvSpPr>
      </xdr:nvSpPr>
      <xdr:spPr>
        <a:xfrm>
          <a:off x="27305" y="50165"/>
          <a:ext cx="13942695" cy="777875"/>
        </a:xfrm>
        <a:prstGeom prst="rect">
          <a:avLst/>
        </a:prstGeom>
        <a:solidFill>
          <a:srgbClr val="DCE7F1"/>
        </a:solidFill>
        <a:ln w="9525" cap="flat">
          <a:solidFill>
            <a:srgbClr val="B8CCE4"/>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1" i="0" u="none" strike="noStrike" kern="100" baseline="0">
              <a:solidFill>
                <a:srgbClr val="000000"/>
              </a:solidFill>
              <a:latin typeface="Calibri" pitchFamily="2" charset="0"/>
              <a:ea typeface="Basic Sans" charset="0"/>
              <a:cs typeface="Basic Sans" charset="0"/>
            </a:rPr>
            <a:t>This file is composed of 3 worksheets:</a:t>
          </a: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1. INFORMATION: General explanations concerning the GANTT CHART and its content.</a:t>
          </a: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2. INSTRUCTIONS: Indications of the different parts of the GANTT CHART and instructions to fill it in.</a:t>
          </a: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3. GANTT CHART: An empty GANTT CHART with a few examples to show how to fill it in. You only need to fill in this page.</a:t>
          </a:r>
        </a:p>
        <a:p>
          <a:pPr algn="l" defTabSz="360045" rtl="0">
            <a:defRPr sz="1000"/>
          </a:pPr>
        </a:p>
        <a:p>
          <a:pPr marL="457200" algn="l" defTabSz="360045" rtl="0">
            <a:defRPr sz="1000"/>
          </a:pPr>
        </a:p>
        <a:p>
          <a:pPr marL="457200" algn="l" defTabSz="360045" rtl="0">
            <a:defRPr sz="1000"/>
          </a:pPr>
        </a:p>
      </xdr:txBody>
    </xdr:sp>
    <xdr:clientData/>
  </xdr:twoCellAnchor>
  <xdr:twoCellAnchor editAs="oneCell">
    <xdr:from>
      <xdr:col>0</xdr:col>
      <xdr:colOff>27305</xdr:colOff>
      <xdr:row>4</xdr:row>
      <xdr:rowOff>133350</xdr:rowOff>
    </xdr:from>
    <xdr:to>
      <xdr:col>22</xdr:col>
      <xdr:colOff>228600</xdr:colOff>
      <xdr:row>9</xdr:row>
      <xdr:rowOff>168275</xdr:rowOff>
    </xdr:to>
    <xdr:sp macro="" fLocksText="0">
      <xdr:nvSpPr>
        <xdr:cNvPr id="3" name="TextBox 6"/>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EAAAAAAAAA3OfxAAAAAAAAAAAAAAAAAAAAAAAAAAAAAAAAAAAAAAAAAAAAeAAAAAEAAABAAAAAAAAAAAAAAABaAAAAAAAAAAAAAAAAAAAAAAAAAAAAAAAAAAAAAAAAAAAAAAAAAAAAAAAAAAAAAAAAAAAAAAAAAAAAAAAAAAAAAAAAAAAAAAAAAAAAFAAAADwAAAABAAAAAAAAALjM5AAPAAAAAQAAACMAAAAjAAAAIwAAAB4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JCiozU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QAAAAAAAAAuAItAAkAAAAWAAAAbgN3ASsAAACmBQAAt1UAAEAGAAABAAAAMAAAABQAAAAAAAAAAAD//wAAAQAAAP//AAABAA=="/>
            </a:ext>
          </a:extLst>
        </xdr:cNvSpPr>
      </xdr:nvSpPr>
      <xdr:spPr>
        <a:xfrm>
          <a:off x="27305" y="918210"/>
          <a:ext cx="13933805" cy="1016000"/>
        </a:xfrm>
        <a:prstGeom prst="rect">
          <a:avLst/>
        </a:prstGeom>
        <a:solidFill>
          <a:srgbClr val="DCE7F1"/>
        </a:solidFill>
        <a:ln w="9525" cap="flat">
          <a:solidFill>
            <a:srgbClr val="B8CCE4"/>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1" i="0" u="none" strike="noStrike" kern="100" baseline="0">
              <a:solidFill>
                <a:srgbClr val="000000"/>
              </a:solidFill>
              <a:latin typeface="Calibri" pitchFamily="2" charset="0"/>
              <a:ea typeface="Basic Sans" charset="0"/>
              <a:cs typeface="Basic Sans" charset="0"/>
            </a:rPr>
            <a:t>1. INFORMATION</a:t>
          </a: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This GANTT CHART must be completed in accordance with the work plan description provided in the proposal.</a:t>
          </a: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No other GANTT CHART template will be accepted.</a:t>
          </a: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A general explanation of the GANTT CHART is given below.</a:t>
          </a:r>
        </a:p>
        <a:p>
          <a:pPr algn="l" defTabSz="360045" rtl="0">
            <a:defRPr sz="1000"/>
          </a:pPr>
          <a:r>
            <a:rPr lang="en-us" sz="1100" b="1" i="0" u="none" strike="noStrike" kern="100" baseline="0">
              <a:solidFill>
                <a:srgbClr val="000000"/>
              </a:solidFill>
              <a:latin typeface="Calibri" pitchFamily="2" charset="0"/>
              <a:ea typeface="Basic Sans" charset="0"/>
              <a:cs typeface="Basic Sans" charset="0"/>
            </a:rPr>
            <a:t>!!! Do not delete rows or columns as it may change the codes and the result of the GANTT CHART. You can hide columns and rows you don't need by clicking on the right mouse button and choosing "hide" !!!</a:t>
          </a:r>
        </a:p>
        <a:p>
          <a:pPr algn="l" defTabSz="360045" rtl="0">
            <a:defRPr sz="1000"/>
          </a:pPr>
        </a:p>
        <a:p>
          <a:pPr algn="l" defTabSz="360045" rtl="0">
            <a:defRPr sz="1000"/>
          </a:pPr>
        </a:p>
        <a:p>
          <a:pPr marL="457200" algn="l" defTabSz="360045" rtl="0">
            <a:defRPr sz="1000"/>
          </a:pPr>
        </a:p>
        <a:p>
          <a:pPr marL="457200" algn="l" defTabSz="360045" rtl="0">
            <a:defRPr sz="1000"/>
          </a:pPr>
        </a:p>
      </xdr:txBody>
    </xdr:sp>
    <xdr:clientData/>
  </xdr:twoCellAnchor>
  <xdr:twoCellAnchor editAs="oneCell">
    <xdr:from>
      <xdr:col>13</xdr:col>
      <xdr:colOff>47625</xdr:colOff>
      <xdr:row>10</xdr:row>
      <xdr:rowOff>86360</xdr:rowOff>
    </xdr:from>
    <xdr:to>
      <xdr:col>22</xdr:col>
      <xdr:colOff>540385</xdr:colOff>
      <xdr:row>46</xdr:row>
      <xdr:rowOff>1270</xdr:rowOff>
    </xdr:to>
    <xdr:sp macro="" fLocksText="0">
      <xdr:nvSpPr>
        <xdr:cNvPr id="2" name="TextBox 7"/>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EAAAAAAAAA3OfxAAAAAAAAAAAAAAAAAAAAAAAAAAAAAAAAAAAAAAAAAAAAeAAAAAEAAABAAAAAAAAAAAAAAABaAAAAAAAAAAAAAAAAAAAAAAAAAAAAAAAAAAAAAAAAAAAAAAAAAAAAAAAAAAAAAAAAAAAAAAAAAAAAAAAAAAAAAAAAAAAAAAAAAAAAFAAAADwAAAABAAAAAAAAALjM5AAPAAAAAQAAACMAAAAjAAAAIwAAAB4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NAKJjU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oAAAANAAAAwwFOAC4AAAAWAAAABwB2AzYyAACaDAAAlyUAAO4qAAABAAAAMAAAABQAAAAAAAAAAAD//wAAAQAAAP//AAABAA=="/>
            </a:ext>
          </a:extLst>
        </xdr:cNvSpPr>
      </xdr:nvSpPr>
      <xdr:spPr>
        <a:xfrm>
          <a:off x="8162290" y="2048510"/>
          <a:ext cx="6110605" cy="6978650"/>
        </a:xfrm>
        <a:prstGeom prst="rect">
          <a:avLst/>
        </a:prstGeom>
        <a:solidFill>
          <a:srgbClr val="DCE7F1"/>
        </a:solidFill>
        <a:ln w="9525" cap="flat">
          <a:solidFill>
            <a:srgbClr val="B8CCE4"/>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1" i="0" u="none" strike="noStrike" kern="100" baseline="0">
              <a:solidFill>
                <a:srgbClr val="000000"/>
              </a:solidFill>
              <a:latin typeface="Calibri" pitchFamily="2" charset="0"/>
              <a:ea typeface="Basic Sans" charset="0"/>
              <a:cs typeface="Basic Sans" charset="0"/>
            </a:rPr>
            <a:t>WHAT ARE PERSON-MONTHS?</a:t>
          </a:r>
        </a:p>
        <a:p>
          <a:pPr algn="l" defTabSz="360045" rtl="0">
            <a:defRPr sz="1000"/>
          </a:pP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(ATTENTION: We refer to PERSON-MONTHS in CALENDAR YEARS; 1 YEAR = 12 MONTHS)</a:t>
          </a:r>
        </a:p>
        <a:p>
          <a:pPr algn="l" defTabSz="360045" rtl="0">
            <a:defRPr sz="1000"/>
          </a:pP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The person-months is a unit used to measure 'human effort'.</a:t>
          </a: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It is the unit of measurement used to express the effort (time) that a given partner devotes to a specific </a:t>
          </a: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task within the project.</a:t>
          </a: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It corresponds to  the amount of work carried out by 1 person in 1 month, if that person works full-time.</a:t>
          </a: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1 Person-month [PM] = 1 Full-Time Equivalent [FTE]</a:t>
          </a:r>
        </a:p>
        <a:p>
          <a:pPr algn="l" defTabSz="360045" rtl="0">
            <a:defRPr sz="1000"/>
          </a:pPr>
        </a:p>
        <a:p>
          <a:pPr algn="l" defTabSz="360045" rtl="0">
            <a:defRPr sz="1000"/>
          </a:pPr>
          <a:r>
            <a:rPr lang="en-us" sz="1100" b="1" i="0" u="none" strike="noStrike" kern="100" baseline="0">
              <a:solidFill>
                <a:srgbClr val="000000"/>
              </a:solidFill>
              <a:latin typeface="Calibri" pitchFamily="2" charset="0"/>
              <a:ea typeface="Basic Sans" charset="0"/>
              <a:cs typeface="Basic Sans" charset="0"/>
            </a:rPr>
            <a:t>HOW ARE PERSON-MONTHS CALCULATED?</a:t>
          </a:r>
        </a:p>
        <a:p>
          <a:pPr algn="l" defTabSz="360045" rtl="0">
            <a:defRPr sz="1000"/>
          </a:pP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To calculate the person-months, multiply the proportion of your effort associated with the task,</a:t>
          </a:r>
        </a:p>
        <a:p>
          <a:pPr algn="l" defTabSz="360045" rtl="0">
            <a:defRPr sz="1000"/>
          </a:pPr>
          <a:r>
            <a:rPr lang="en-us" sz="1100" b="0" i="0" u="none" strike="noStrike" kern="100" baseline="0">
              <a:solidFill>
                <a:srgbClr val="000000"/>
              </a:solidFill>
              <a:latin typeface="Calibri" pitchFamily="2" charset="0"/>
              <a:ea typeface="Basic Sans" charset="0"/>
              <a:cs typeface="Basic Sans" charset="0"/>
            </a:rPr>
            <a:t>by the total number of months you will be involved in  the task.</a:t>
          </a:r>
        </a:p>
        <a:p>
          <a:pPr algn="l" defTabSz="360045" rtl="0">
            <a:defRPr sz="1000"/>
          </a:pP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Examples:</a:t>
          </a:r>
        </a:p>
        <a:p>
          <a:pPr marL="457200" algn="l" defTabSz="360045" rtl="0">
            <a:defRPr sz="1000"/>
          </a:pP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- 1 person will work  full-time on Task 1.1. for  1 month</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If this person works full-time, its effort is considered to be 100%</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Person-months = 1 * 1 month = 1 PM</a:t>
          </a:r>
        </a:p>
        <a:p>
          <a:pPr marL="457200" algn="l" defTabSz="360045" rtl="0">
            <a:defRPr sz="1000"/>
          </a:pP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- 1 person will work half-time on Task 1.1. for 1 month</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If this person works half-time, its effort is considered to be 50%</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Person-months  = 0.5 * 1 month = 0.5 PM</a:t>
          </a:r>
        </a:p>
        <a:p>
          <a:pPr marL="457200" algn="l" defTabSz="360045" rtl="0">
            <a:defRPr sz="1000"/>
          </a:pP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- 1 person will work 4/5 time on Task 1.1. for 1 month</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If this person works 4/5 time, its effort is considered to be 80%</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Person-months = 0.8 * 1 month = 0.8 PM</a:t>
          </a:r>
        </a:p>
        <a:p>
          <a:pPr marL="457200" algn="l" defTabSz="360045" rtl="0">
            <a:defRPr sz="1000"/>
          </a:pP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- 1 person will work full-time on Task 1.2. for 4 months</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If this person works full-time, its effort is considered to be 100%</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Person-months = 1 * 4 months = 4 PM</a:t>
          </a:r>
        </a:p>
        <a:p>
          <a:pPr marL="457200" algn="l" defTabSz="360045" rtl="0">
            <a:defRPr sz="1000"/>
          </a:pP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- 1 person will work half-time on Task 1.2. for 4 months</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If this person works half-time, its effort is considered to be 50%</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Person-months = 0.5 * 4 months = 2 PM</a:t>
          </a:r>
        </a:p>
        <a:p>
          <a:pPr marL="457200" algn="l" defTabSz="360045" rtl="0">
            <a:defRPr sz="1000"/>
          </a:pP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- 1 person will work 4/5 time on Task 1.2. for 4 months</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If this person works 4/5 time, its effort is considered to be 80%</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Person-months = 0.8 * 4 months = 3.2 PM  </a:t>
          </a:r>
        </a:p>
        <a:p>
          <a:pPr marL="457200" algn="l" defTabSz="360045" rtl="0">
            <a:defRPr sz="1000"/>
          </a:pPr>
          <a:r>
            <a:rPr lang="en-us" sz="1100" b="0" i="0" u="none" strike="noStrike" kern="100" baseline="0">
              <a:solidFill>
                <a:srgbClr val="000000"/>
              </a:solidFill>
              <a:latin typeface="Calibri" pitchFamily="2" charset="0"/>
              <a:ea typeface="Basic Sans" charset="0"/>
              <a:cs typeface="Basic Sans" charset="0"/>
            </a:rPr>
            <a:t> </a:t>
          </a:r>
        </a:p>
        <a:p>
          <a:pPr marL="457200" algn="l" defTabSz="360045" rtl="0">
            <a:defRPr sz="1000"/>
          </a:pPr>
        </a:p>
        <a:p>
          <a:pPr marL="457200" algn="l" defTabSz="360045" rtl="0">
            <a:defRPr sz="1000"/>
          </a:p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519430</xdr:colOff>
      <xdr:row>8</xdr:row>
      <xdr:rowOff>143510</xdr:rowOff>
    </xdr:from>
    <xdr:to>
      <xdr:col>1</xdr:col>
      <xdr:colOff>1891030</xdr:colOff>
      <xdr:row>10</xdr:row>
      <xdr:rowOff>59055</xdr:rowOff>
    </xdr:to>
    <xdr:sp macro="" fLocksText="0">
      <xdr:nvSpPr>
        <xdr:cNvPr id="89" name="Oval 1"/>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CAAI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gAAAABAAAA7QLuAAoAAAABAAAALAFiA14QAACKCgAAcAgAAOUBAAAAAAAAMAAAABQAAAAAAAAAAAD//wAAAQAAAP//AAABAA=="/>
            </a:ext>
          </a:extLst>
        </xdr:cNvSpPr>
      </xdr:nvSpPr>
      <xdr:spPr>
        <a:xfrm>
          <a:off x="2660650" y="1713230"/>
          <a:ext cx="1371600" cy="307975"/>
        </a:xfrm>
        <a:prstGeom prst="ellipse">
          <a:avLst/>
        </a:prstGeom>
        <a:noFill/>
        <a:ln w="25400" cap="flat">
          <a:solidFill>
            <a:srgbClr val="0070C0"/>
          </a:solidFill>
          <a:prstDash val="solid"/>
          <a:headEnd type="none" w="med" len="med"/>
          <a:tailEnd type="none" w="med" len="med"/>
        </a:ln>
        <a:effectLst/>
      </xdr:spPr>
    </xdr:sp>
    <xdr:clientData/>
  </xdr:twoCellAnchor>
  <xdr:twoCellAnchor>
    <xdr:from>
      <xdr:col>1</xdr:col>
      <xdr:colOff>1002030</xdr:colOff>
      <xdr:row>3</xdr:row>
      <xdr:rowOff>156210</xdr:rowOff>
    </xdr:from>
    <xdr:to>
      <xdr:col>1</xdr:col>
      <xdr:colOff>1205230</xdr:colOff>
      <xdr:row>8</xdr:row>
      <xdr:rowOff>143510</xdr:rowOff>
    </xdr:to>
    <xdr:cxnSp macro="">
      <xdr:nvCxnSpPr>
        <xdr:cNvPr id="88" name="Straight Connector 3"/>
        <xdr:cNvCxnSpPr>
          <a:stCxn id="89" idx="0"/>
          <a:endCxn id="87" idx="2"/>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Bww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MAAAABAAAALwPLAQgAAAABAAAA7QIoAlYTAACVBAAAQAEAAPUFAAAAAAAAMAAAABQAAAAAAAAAAAD//wAAAQAAAP//AAABAA=="/>
            </a:ext>
          </a:extLst>
        </xdr:cNvCxnSpPr>
      </xdr:nvCxnSpPr>
      <xdr:spPr>
        <a:xfrm rot="5400000" flipH="1">
          <a:off x="3143250" y="744855"/>
          <a:ext cx="203200" cy="968375"/>
        </a:xfrm>
        <a:prstGeom prst="straightConnector1">
          <a:avLst/>
        </a:prstGeom>
        <a:noFill/>
        <a:ln w="19050" cap="flat">
          <a:solidFill>
            <a:srgbClr val="0070C0"/>
          </a:solidFill>
          <a:prstDash val="solid"/>
          <a:headEnd type="none" w="med" len="med"/>
          <a:tailEnd type="none" w="med" len="med"/>
        </a:ln>
        <a:effectLst/>
      </xdr:spPr>
    </xdr:cxnSp>
    <xdr:clientData/>
  </xdr:twoCellAnchor>
  <xdr:twoCellAnchor editAs="oneCell">
    <xdr:from>
      <xdr:col>1</xdr:col>
      <xdr:colOff>63500</xdr:colOff>
      <xdr:row>2</xdr:row>
      <xdr:rowOff>87630</xdr:rowOff>
    </xdr:from>
    <xdr:to>
      <xdr:col>1</xdr:col>
      <xdr:colOff>1938655</xdr:colOff>
      <xdr:row>3</xdr:row>
      <xdr:rowOff>156210</xdr:rowOff>
    </xdr:to>
    <xdr:sp macro="" fLocksText="0">
      <xdr:nvSpPr>
        <xdr:cNvPr id="87" name="TextBox 4"/>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IAAAABAAAAyQEdAAMAAAABAAAALwN4A5ANAAD0AgAAigsAAKEBAAABAAAAMAAAABQAAAAAAAAAAAD//wAAAQAAAP//AAABAA=="/>
            </a:ext>
          </a:extLst>
        </xdr:cNvSpPr>
      </xdr:nvSpPr>
      <xdr:spPr>
        <a:xfrm>
          <a:off x="2204720" y="480060"/>
          <a:ext cx="1875790" cy="264795"/>
        </a:xfrm>
        <a:prstGeom prst="rect">
          <a:avLst/>
        </a:prstGeom>
        <a:solidFill>
          <a:srgbClr val="FFFFFF"/>
        </a:solidFill>
        <a:ln w="25400" cap="flat">
          <a:solidFill>
            <a:srgbClr val="0070C0"/>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0" i="0" u="none" strike="noStrike" kern="100" baseline="0">
              <a:solidFill>
                <a:srgbClr val="0070C0"/>
              </a:solidFill>
              <a:latin typeface="Calibri" pitchFamily="2" charset="0"/>
              <a:ea typeface="Basic Sans" charset="0"/>
              <a:cs typeface="Basic Sans" charset="0"/>
            </a:rPr>
            <a:t>ACRONYM OF YOUR PROJECT</a:t>
          </a:r>
        </a:p>
      </xdr:txBody>
    </xdr:sp>
    <xdr:clientData/>
  </xdr:twoCellAnchor>
  <xdr:twoCellAnchor>
    <xdr:from>
      <xdr:col>0</xdr:col>
      <xdr:colOff>1997075</xdr:colOff>
      <xdr:row>9</xdr:row>
      <xdr:rowOff>163830</xdr:rowOff>
    </xdr:from>
    <xdr:to>
      <xdr:col>1</xdr:col>
      <xdr:colOff>1130935</xdr:colOff>
      <xdr:row>11</xdr:row>
      <xdr:rowOff>104775</xdr:rowOff>
    </xdr:to>
    <xdr:sp macro="" fLocksText="0">
      <xdr:nvSpPr>
        <xdr:cNvPr id="86" name="Oval 5"/>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kAAAAAAAAAVwO7AwsAAAABAAAAEAIGAkkMAADfCwAA2AcAABUCAAAAAAAAMAAAABQAAAAAAAAAAAD//wAAAQAAAP//AAABAA=="/>
            </a:ext>
          </a:extLst>
        </xdr:cNvSpPr>
      </xdr:nvSpPr>
      <xdr:spPr>
        <a:xfrm rot="16200000">
          <a:off x="1997075" y="1929765"/>
          <a:ext cx="1275080" cy="338455"/>
        </a:xfrm>
        <a:prstGeom prst="ellipse">
          <a:avLst/>
        </a:prstGeom>
        <a:noFill/>
        <a:ln w="25400" cap="flat">
          <a:solidFill>
            <a:srgbClr val="0070C0"/>
          </a:solidFill>
          <a:prstDash val="solid"/>
          <a:headEnd type="none" w="med" len="med"/>
          <a:tailEnd type="none" w="med" len="med"/>
        </a:ln>
        <a:effectLst/>
      </xdr:spPr>
    </xdr:sp>
    <xdr:clientData/>
  </xdr:twoCellAnchor>
  <xdr:twoCellAnchor editAs="oneCell">
    <xdr:from>
      <xdr:col>0</xdr:col>
      <xdr:colOff>315595</xdr:colOff>
      <xdr:row>6</xdr:row>
      <xdr:rowOff>130810</xdr:rowOff>
    </xdr:from>
    <xdr:to>
      <xdr:col>0</xdr:col>
      <xdr:colOff>1779270</xdr:colOff>
      <xdr:row>8</xdr:row>
      <xdr:rowOff>3175</xdr:rowOff>
    </xdr:to>
    <xdr:sp macro="" fLocksText="0">
      <xdr:nvSpPr>
        <xdr:cNvPr id="85" name="TextBox 8"/>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YAAAAAAAAAqwKXAAgAAAAAAAAAEQBTA/EBAAAMCAAAAgkAAKEBAAABAAAAMAAAABQAAAAAAAAAAAD//wAAAQAAAP//AAABAA=="/>
            </a:ext>
          </a:extLst>
        </xdr:cNvSpPr>
      </xdr:nvSpPr>
      <xdr:spPr>
        <a:xfrm>
          <a:off x="315595" y="1308100"/>
          <a:ext cx="1464310" cy="264795"/>
        </a:xfrm>
        <a:prstGeom prst="rect">
          <a:avLst/>
        </a:prstGeom>
        <a:solidFill>
          <a:srgbClr val="FFFFFF"/>
        </a:solidFill>
        <a:ln w="25400" cap="flat">
          <a:solidFill>
            <a:srgbClr val="0070C0"/>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0" i="0" u="none" strike="noStrike" kern="100" baseline="0">
              <a:solidFill>
                <a:srgbClr val="0070C0"/>
              </a:solidFill>
              <a:latin typeface="Calibri" pitchFamily="2" charset="0"/>
              <a:ea typeface="Basic Sans" charset="0"/>
              <a:cs typeface="Basic Sans" charset="0"/>
            </a:rPr>
            <a:t>NAME OF PROMOTOR</a:t>
          </a:r>
        </a:p>
      </xdr:txBody>
    </xdr:sp>
    <xdr:clientData/>
  </xdr:twoCellAnchor>
  <xdr:twoCellAnchor>
    <xdr:from>
      <xdr:col>0</xdr:col>
      <xdr:colOff>1047750</xdr:colOff>
      <xdr:row>8</xdr:row>
      <xdr:rowOff>3175</xdr:rowOff>
    </xdr:from>
    <xdr:to>
      <xdr:col>0</xdr:col>
      <xdr:colOff>1997075</xdr:colOff>
      <xdr:row>10</xdr:row>
      <xdr:rowOff>137160</xdr:rowOff>
    </xdr:to>
    <xdr:cxnSp macro="">
      <xdr:nvCxnSpPr>
        <xdr:cNvPr id="84" name="Straight Connector 9"/>
        <xdr:cNvCxnSpPr>
          <a:stCxn id="86" idx="0"/>
          <a:endCxn id="85" idx="2"/>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Bww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gAAAAAAAAAEQD1AQoAAAAAAAAAugK7A3IGAACtCQAA1wUAAD0DAAAAAAAAMAAAABQAAAAAAAAAAAD//wAAAQAAAP//AAABAA=="/>
            </a:ext>
          </a:extLst>
        </xdr:cNvCxnSpPr>
      </xdr:nvCxnSpPr>
      <xdr:spPr>
        <a:xfrm rot="5400000" flipH="1">
          <a:off x="1047750" y="1572895"/>
          <a:ext cx="949325" cy="526415"/>
        </a:xfrm>
        <a:prstGeom prst="straightConnector1">
          <a:avLst/>
        </a:prstGeom>
        <a:noFill/>
        <a:ln w="19050" cap="flat">
          <a:solidFill>
            <a:srgbClr val="0070C0"/>
          </a:solidFill>
          <a:prstDash val="solid"/>
          <a:headEnd type="none" w="med" len="med"/>
          <a:tailEnd type="none" w="med" len="med"/>
        </a:ln>
        <a:effectLst/>
      </xdr:spPr>
    </xdr:cxnSp>
    <xdr:clientData/>
  </xdr:twoCellAnchor>
  <xdr:twoCellAnchor>
    <xdr:from>
      <xdr:col>8</xdr:col>
      <xdr:colOff>233045</xdr:colOff>
      <xdr:row>11</xdr:row>
      <xdr:rowOff>134620</xdr:rowOff>
    </xdr:from>
    <xdr:to>
      <xdr:col>11</xdr:col>
      <xdr:colOff>34290</xdr:colOff>
      <xdr:row>13</xdr:row>
      <xdr:rowOff>5715</xdr:rowOff>
    </xdr:to>
    <xdr:sp macro="" fLocksText="0">
      <xdr:nvSpPr>
        <xdr:cNvPr id="83" name="Oval 16"/>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sAAAAIAAAApgL0Ag0AAAALAAAAHQBvAMgqAAAjDgAAmgQAAGUHAAAAAAAAMAAAABQAAAAAAAAAAAD//wAAAQAAAP//AAABAA=="/>
            </a:ext>
          </a:extLst>
        </xdr:cNvSpPr>
      </xdr:nvSpPr>
      <xdr:spPr>
        <a:xfrm>
          <a:off x="6954520" y="2298065"/>
          <a:ext cx="748030" cy="1202055"/>
        </a:xfrm>
        <a:prstGeom prst="ellipse">
          <a:avLst/>
        </a:prstGeom>
        <a:noFill/>
        <a:ln w="25400" cap="flat">
          <a:solidFill>
            <a:srgbClr val="0070C0"/>
          </a:solidFill>
          <a:prstDash val="solid"/>
          <a:headEnd type="none" w="med" len="med"/>
          <a:tailEnd type="none" w="med" len="med"/>
        </a:ln>
        <a:effectLst/>
      </xdr:spPr>
    </xdr:sp>
    <xdr:clientData/>
  </xdr:twoCellAnchor>
  <xdr:twoCellAnchor editAs="oneCell">
    <xdr:from>
      <xdr:col>11</xdr:col>
      <xdr:colOff>2540</xdr:colOff>
      <xdr:row>4</xdr:row>
      <xdr:rowOff>135890</xdr:rowOff>
    </xdr:from>
    <xdr:to>
      <xdr:col>15</xdr:col>
      <xdr:colOff>82550</xdr:colOff>
      <xdr:row>6</xdr:row>
      <xdr:rowOff>8255</xdr:rowOff>
    </xdr:to>
    <xdr:sp macro="" fLocksText="0">
      <xdr:nvSpPr>
        <xdr:cNvPr id="82" name="TextBox 17"/>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xjIH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QAAAALAAAAxQIIAAYAAAAPAAAAKwAMATAvAACqBQAAmQgAAKEBAAABAAAAMAAAABQAAAAAAAAAAAD//wAAAQAAAP//AAABAA=="/>
            </a:ext>
          </a:extLst>
        </xdr:cNvSpPr>
      </xdr:nvSpPr>
      <xdr:spPr>
        <a:xfrm>
          <a:off x="7670800" y="920750"/>
          <a:ext cx="1397635" cy="264795"/>
        </a:xfrm>
        <a:prstGeom prst="rect">
          <a:avLst/>
        </a:prstGeom>
        <a:solidFill>
          <a:srgbClr val="FFFFFF"/>
        </a:solidFill>
        <a:ln w="25400" cap="flat">
          <a:solidFill>
            <a:srgbClr val="0070C0"/>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0" i="0" u="none" strike="noStrike" kern="100" baseline="0">
              <a:solidFill>
                <a:srgbClr val="0070C0"/>
              </a:solidFill>
              <a:latin typeface="Calibri" pitchFamily="2" charset="0"/>
              <a:ea typeface="Basic Sans" charset="0"/>
              <a:cs typeface="Basic Sans" charset="0"/>
            </a:rPr>
            <a:t>DIPLOMA/DEGREE</a:t>
          </a:r>
        </a:p>
      </xdr:txBody>
    </xdr:sp>
    <xdr:clientData/>
  </xdr:twoCellAnchor>
  <xdr:twoCellAnchor>
    <xdr:from>
      <xdr:col>9</xdr:col>
      <xdr:colOff>291465</xdr:colOff>
      <xdr:row>6</xdr:row>
      <xdr:rowOff>8255</xdr:rowOff>
    </xdr:from>
    <xdr:to>
      <xdr:col>13</xdr:col>
      <xdr:colOff>15240</xdr:colOff>
      <xdr:row>11</xdr:row>
      <xdr:rowOff>134620</xdr:rowOff>
    </xdr:to>
    <xdr:cxnSp macro="">
      <xdr:nvCxnSpPr>
        <xdr:cNvPr id="81" name="Straight Connector 18"/>
        <xdr:cNvCxnSpPr>
          <a:stCxn id="83" idx="0"/>
          <a:endCxn id="82" idx="2"/>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Bww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48Yy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YAAAAJAAAAKwCyAwsAAAANAAAApgIxABUtAABLBwAAaAYAANgGAAAAAAAAMAAAABQAAAAAAAAAAAD//wAAAQAAAP//AAABAA=="/>
            </a:ext>
          </a:extLst>
        </xdr:cNvCxnSpPr>
      </xdr:nvCxnSpPr>
      <xdr:spPr>
        <a:xfrm rot="16200000">
          <a:off x="7328535" y="1185545"/>
          <a:ext cx="1041400" cy="1112520"/>
        </a:xfrm>
        <a:prstGeom prst="straightConnector1">
          <a:avLst/>
        </a:prstGeom>
        <a:noFill/>
        <a:ln w="19050" cap="flat">
          <a:solidFill>
            <a:srgbClr val="0070C0"/>
          </a:solidFill>
          <a:prstDash val="solid"/>
          <a:headEnd type="none" w="med" len="med"/>
          <a:tailEnd type="none" w="med" len="med"/>
        </a:ln>
        <a:effectLst/>
      </xdr:spPr>
    </xdr:cxnSp>
    <xdr:clientData/>
  </xdr:twoCellAnchor>
  <xdr:twoCellAnchor editAs="oneCell">
    <xdr:from>
      <xdr:col>19</xdr:col>
      <xdr:colOff>245745</xdr:colOff>
      <xdr:row>5</xdr:row>
      <xdr:rowOff>21590</xdr:rowOff>
    </xdr:from>
    <xdr:to>
      <xdr:col>26</xdr:col>
      <xdr:colOff>13335</xdr:colOff>
      <xdr:row>6</xdr:row>
      <xdr:rowOff>90170</xdr:rowOff>
    </xdr:to>
    <xdr:sp macro="" fLocksText="0">
      <xdr:nvSpPr>
        <xdr:cNvPr id="80" name="TextBox 22"/>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HI9IkE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UAAAATAAAAcQAdAwYAAAAaAAAA1wGQAI5AAAArBgAA+gkAAKEBAAABAAAAMAAAABQAAAAAAAAAAAD//wAAAQAAAP//AAABAA=="/>
            </a:ext>
          </a:extLst>
        </xdr:cNvSpPr>
      </xdr:nvSpPr>
      <xdr:spPr>
        <a:xfrm>
          <a:off x="10494010" y="1002665"/>
          <a:ext cx="1621790" cy="264795"/>
        </a:xfrm>
        <a:prstGeom prst="rect">
          <a:avLst/>
        </a:prstGeom>
        <a:solidFill>
          <a:srgbClr val="FFFFFF"/>
        </a:solidFill>
        <a:ln w="25400" cap="flat">
          <a:solidFill>
            <a:srgbClr val="0070C0"/>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0" i="0" u="none" strike="noStrike" kern="100" baseline="0">
              <a:solidFill>
                <a:srgbClr val="0070C0"/>
              </a:solidFill>
              <a:latin typeface="Calibri" pitchFamily="2" charset="0"/>
              <a:ea typeface="Basic Sans" charset="0"/>
              <a:cs typeface="Basic Sans" charset="0"/>
            </a:rPr>
            <a:t>NAME OF RESEARCHERS</a:t>
          </a:r>
        </a:p>
      </xdr:txBody>
    </xdr:sp>
    <xdr:clientData/>
  </xdr:twoCellAnchor>
  <xdr:twoCellAnchor>
    <xdr:from>
      <xdr:col>17</xdr:col>
      <xdr:colOff>163830</xdr:colOff>
      <xdr:row>11</xdr:row>
      <xdr:rowOff>146050</xdr:rowOff>
    </xdr:from>
    <xdr:to>
      <xdr:col>18</xdr:col>
      <xdr:colOff>215265</xdr:colOff>
      <xdr:row>13</xdr:row>
      <xdr:rowOff>8890</xdr:rowOff>
    </xdr:to>
    <xdr:sp macro="" fLocksText="0">
      <xdr:nvSpPr>
        <xdr:cNvPr id="79" name="Oval 28"/>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C8+PGM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sAAAARAAAA4AIUAg0AAAASAAAALQC6Ais8AAA1DgAAQgIAAFgHAAAAAAAAMAAAABQAAAAAAAAAAAD//wAAAQAAAP//AAABAA=="/>
            </a:ext>
          </a:extLst>
        </xdr:cNvSpPr>
      </xdr:nvSpPr>
      <xdr:spPr>
        <a:xfrm>
          <a:off x="9780905" y="2309495"/>
          <a:ext cx="367030" cy="1193800"/>
        </a:xfrm>
        <a:prstGeom prst="ellipse">
          <a:avLst/>
        </a:prstGeom>
        <a:noFill/>
        <a:ln w="25400" cap="flat">
          <a:solidFill>
            <a:srgbClr val="0070C0"/>
          </a:solidFill>
          <a:prstDash val="solid"/>
          <a:headEnd type="none" w="med" len="med"/>
          <a:tailEnd type="none" w="med" len="med"/>
        </a:ln>
        <a:effectLst/>
      </xdr:spPr>
    </xdr:sp>
    <xdr:clientData/>
  </xdr:twoCellAnchor>
  <xdr:twoCellAnchor editAs="oneCell">
    <xdr:from>
      <xdr:col>3</xdr:col>
      <xdr:colOff>134620</xdr:colOff>
      <xdr:row>2</xdr:row>
      <xdr:rowOff>97790</xdr:rowOff>
    </xdr:from>
    <xdr:to>
      <xdr:col>7</xdr:col>
      <xdr:colOff>304800</xdr:colOff>
      <xdr:row>3</xdr:row>
      <xdr:rowOff>166370</xdr:rowOff>
    </xdr:to>
    <xdr:sp macro="" fLocksText="0">
      <xdr:nvSpPr>
        <xdr:cNvPr id="78" name="TextBox 35"/>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HI9Il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IAAAADAAAA/gERAQMAAAAHAAAAZAPdA00fAAAEAwAA+wkAAKEBAAABAAAAMAAAABQAAAAAAAAAAAD//wAAAQAAAP//AAABAA=="/>
            </a:ext>
          </a:extLst>
        </xdr:cNvSpPr>
      </xdr:nvSpPr>
      <xdr:spPr>
        <a:xfrm>
          <a:off x="5088255" y="490220"/>
          <a:ext cx="1622425" cy="264795"/>
        </a:xfrm>
        <a:prstGeom prst="rect">
          <a:avLst/>
        </a:prstGeom>
        <a:solidFill>
          <a:srgbClr val="FFFFFF"/>
        </a:solidFill>
        <a:ln w="25400" cap="flat">
          <a:solidFill>
            <a:srgbClr val="0070C0"/>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0" i="0" u="none" strike="noStrike" kern="100" baseline="0">
              <a:solidFill>
                <a:srgbClr val="0070C0"/>
              </a:solidFill>
              <a:latin typeface="Calibri" pitchFamily="2" charset="0"/>
              <a:ea typeface="Basic Sans" charset="0"/>
              <a:cs typeface="Basic Sans" charset="0"/>
            </a:rPr>
            <a:t>NAME OF RESEARCHERS</a:t>
          </a:r>
        </a:p>
      </xdr:txBody>
    </xdr:sp>
    <xdr:clientData/>
  </xdr:twoCellAnchor>
  <xdr:twoCellAnchor>
    <xdr:from>
      <xdr:col>5</xdr:col>
      <xdr:colOff>151130</xdr:colOff>
      <xdr:row>12</xdr:row>
      <xdr:rowOff>4445</xdr:rowOff>
    </xdr:from>
    <xdr:to>
      <xdr:col>6</xdr:col>
      <xdr:colOff>173355</xdr:colOff>
      <xdr:row>12</xdr:row>
      <xdr:rowOff>1176020</xdr:rowOff>
    </xdr:to>
    <xdr:sp macro="" fLocksText="0">
      <xdr:nvSpPr>
        <xdr:cNvPr id="77" name="Oval 36"/>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EzIi8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wAAAAFAAAABADqAQwAAAAGAAAALAQyAnQkAACWDgAAFAIAAOkGAAAAAAAAMAAAABQAAAAAAAAAAAD//wAAAQAAAP//AAABAA=="/>
            </a:ext>
          </a:extLst>
        </xdr:cNvSpPr>
      </xdr:nvSpPr>
      <xdr:spPr>
        <a:xfrm>
          <a:off x="5925820" y="2371090"/>
          <a:ext cx="337820" cy="1123315"/>
        </a:xfrm>
        <a:prstGeom prst="ellipse">
          <a:avLst/>
        </a:prstGeom>
        <a:noFill/>
        <a:ln w="25400" cap="flat">
          <a:solidFill>
            <a:srgbClr val="0070C0"/>
          </a:solidFill>
          <a:prstDash val="solid"/>
          <a:headEnd type="none" w="med" len="med"/>
          <a:tailEnd type="none" w="med" len="med"/>
        </a:ln>
        <a:effectLst/>
      </xdr:spPr>
    </xdr:sp>
    <xdr:clientData/>
  </xdr:twoCellAnchor>
  <xdr:twoCellAnchor>
    <xdr:from>
      <xdr:col>5</xdr:col>
      <xdr:colOff>125095</xdr:colOff>
      <xdr:row>3</xdr:row>
      <xdr:rowOff>166370</xdr:rowOff>
    </xdr:from>
    <xdr:to>
      <xdr:col>6</xdr:col>
      <xdr:colOff>4445</xdr:colOff>
      <xdr:row>12</xdr:row>
      <xdr:rowOff>4445</xdr:rowOff>
    </xdr:to>
    <xdr:cxnSp macro="">
      <xdr:nvCxnSpPr>
        <xdr:cNvPr id="76" name="Straight Connector 37"/>
        <xdr:cNvCxnSpPr>
          <a:stCxn id="77" idx="0"/>
          <a:endCxn id="78" idx="2"/>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Bww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CIxMi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MAAAAFAAAAZAOWAQwAAAAGAAAABAAOAEskAAClBAAAMwEAAPEJAAAAAAAAMAAAABQAAAAAAAAAAAD//wAAAQAAAP//AAABAA=="/>
            </a:ext>
          </a:extLst>
        </xdr:cNvCxnSpPr>
      </xdr:nvCxnSpPr>
      <xdr:spPr>
        <a:xfrm rot="5400000" flipH="1">
          <a:off x="5899785" y="755015"/>
          <a:ext cx="194945" cy="1616075"/>
        </a:xfrm>
        <a:prstGeom prst="straightConnector1">
          <a:avLst/>
        </a:prstGeom>
        <a:noFill/>
        <a:ln w="19050" cap="flat">
          <a:solidFill>
            <a:srgbClr val="0070C0"/>
          </a:solidFill>
          <a:prstDash val="solid"/>
          <a:headEnd type="none" w="med" len="med"/>
          <a:tailEnd type="none" w="med" len="med"/>
        </a:ln>
        <a:effectLst/>
      </xdr:spPr>
    </xdr:cxnSp>
    <xdr:clientData/>
  </xdr:twoCellAnchor>
  <xdr:twoCellAnchor>
    <xdr:from>
      <xdr:col>18</xdr:col>
      <xdr:colOff>31750</xdr:colOff>
      <xdr:row>6</xdr:row>
      <xdr:rowOff>90170</xdr:rowOff>
    </xdr:from>
    <xdr:to>
      <xdr:col>22</xdr:col>
      <xdr:colOff>109855</xdr:colOff>
      <xdr:row>11</xdr:row>
      <xdr:rowOff>146050</xdr:rowOff>
    </xdr:to>
    <xdr:cxnSp macro="">
      <xdr:nvCxnSpPr>
        <xdr:cNvPr id="75" name="Straight Connector 42"/>
        <xdr:cNvCxnSpPr>
          <a:stCxn id="79" idx="0"/>
          <a:endCxn id="80" idx="2"/>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Bww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kiIHM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YAAAASAAAA1wFnAAsAAAAWAAAA4AJkAUw9AADMBwAAPwgAAGkGAAAAAAAAMAAAABQAAAAAAAAAAAD//wAAAQAAAP//AAABAA=="/>
            </a:ext>
          </a:extLst>
        </xdr:cNvCxnSpPr>
      </xdr:nvCxnSpPr>
      <xdr:spPr>
        <a:xfrm rot="16200000">
          <a:off x="9964420" y="1267460"/>
          <a:ext cx="1340485" cy="1042035"/>
        </a:xfrm>
        <a:prstGeom prst="straightConnector1">
          <a:avLst/>
        </a:prstGeom>
        <a:noFill/>
        <a:ln w="19050" cap="flat">
          <a:solidFill>
            <a:srgbClr val="0070C0"/>
          </a:solidFill>
          <a:prstDash val="solid"/>
          <a:headEnd type="none" w="med" len="med"/>
          <a:tailEnd type="none" w="med" len="med"/>
        </a:ln>
        <a:effectLst/>
      </xdr:spPr>
    </xdr:cxnSp>
    <xdr:clientData/>
  </xdr:twoCellAnchor>
  <xdr:twoCellAnchor>
    <xdr:from>
      <xdr:col>3</xdr:col>
      <xdr:colOff>476250</xdr:colOff>
      <xdr:row>12</xdr:row>
      <xdr:rowOff>1112520</xdr:rowOff>
    </xdr:from>
    <xdr:to>
      <xdr:col>23</xdr:col>
      <xdr:colOff>358775</xdr:colOff>
      <xdr:row>14</xdr:row>
      <xdr:rowOff>41275</xdr:rowOff>
    </xdr:to>
    <xdr:sp macro="" fLocksText="0">
      <xdr:nvSpPr>
        <xdr:cNvPr id="74" name="Rectangle 46"/>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EAAAAAAAAA/wAAAAAAAABHAAAAAAAAAAAAAAAAAAAAAAAAAAAAAAAAAAAAZAAAAAEAAABAAAAAAAAAAAAAAAAAAAAAAAAAAAAAAAAAAAAAAAAAAAAAAAAAAAAAAAAAAAAAAAAAAAAAAAAAAAAAAAAAAAAAAAAAAAAAAAAAAAAAAAAAAAAAAAAAAAAAFAAAADwAAAABAAAAAAAAAP8AAAAt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0iQVk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wAAAADAAAA8gPFAw4AAAAXAAAA0wCRA2chAABnFQAAnScAAJkBAAAAAAAAMAAAABQAAAAAAAAAAAD//wAAAQAAAP//AAABAA=="/>
            </a:ext>
          </a:extLst>
        </xdr:cNvSpPr>
      </xdr:nvSpPr>
      <xdr:spPr>
        <a:xfrm>
          <a:off x="5429885" y="3479165"/>
          <a:ext cx="6439535" cy="259715"/>
        </a:xfrm>
        <a:prstGeom prst="rect">
          <a:avLst/>
        </a:prstGeom>
        <a:solidFill>
          <a:srgbClr val="FF0000">
            <a:alpha val="29000"/>
          </a:srgbClr>
        </a:solidFill>
        <a:ln w="28575" cap="flat">
          <a:solidFill>
            <a:srgbClr val="FF0000"/>
          </a:solidFill>
          <a:prstDash val="solid"/>
          <a:headEnd type="none" w="med" len="med"/>
          <a:tailEnd type="none" w="med" len="med"/>
        </a:ln>
        <a:effectLst/>
      </xdr:spPr>
    </xdr:sp>
    <xdr:clientData/>
  </xdr:twoCellAnchor>
  <xdr:twoCellAnchor editAs="oneCell">
    <xdr:from>
      <xdr:col>73</xdr:col>
      <xdr:colOff>115570</xdr:colOff>
      <xdr:row>13</xdr:row>
      <xdr:rowOff>15240</xdr:rowOff>
    </xdr:from>
    <xdr:to>
      <xdr:col>78</xdr:col>
      <xdr:colOff>542925</xdr:colOff>
      <xdr:row>15</xdr:row>
      <xdr:rowOff>48895</xdr:rowOff>
    </xdr:to>
    <xdr:sp macro="" fLocksText="0">
      <xdr:nvSpPr>
        <xdr:cNvPr id="73" name="TextBox 47"/>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GMgcj0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0AAABJAAAATQC+AA8AAABOAAAA+gB7A8ZpAACXFQAA1BUAALACAAABAAAAMAAAABQAAAAAAAAAAAD//wAAAQAAAP//AAABAA=="/>
            </a:ext>
          </a:extLst>
        </xdr:cNvSpPr>
      </xdr:nvSpPr>
      <xdr:spPr>
        <a:xfrm>
          <a:off x="17194530" y="3509645"/>
          <a:ext cx="3548380" cy="436880"/>
        </a:xfrm>
        <a:prstGeom prst="rect">
          <a:avLst/>
        </a:prstGeom>
        <a:solidFill>
          <a:srgbClr val="FFFFFF"/>
        </a:solidFill>
        <a:ln w="25400" cap="flat">
          <a:solidFill>
            <a:srgbClr val="FF0000"/>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0" i="0" u="none" strike="noStrike" kern="100" baseline="0">
              <a:solidFill>
                <a:srgbClr val="C00000"/>
              </a:solidFill>
              <a:latin typeface="Calibri" pitchFamily="2" charset="0"/>
              <a:ea typeface="Basic Sans" charset="0"/>
              <a:cs typeface="Basic Sans" charset="0"/>
            </a:rPr>
            <a:t>DARK CELLS MARKED '0,0' ARE AUTOMATICALLY FILLED, SO DO NOT OVERWRITE  THEM</a:t>
          </a:r>
        </a:p>
      </xdr:txBody>
    </xdr:sp>
    <xdr:clientData/>
  </xdr:twoCellAnchor>
  <xdr:twoCellAnchor>
    <xdr:from>
      <xdr:col>23</xdr:col>
      <xdr:colOff>358775</xdr:colOff>
      <xdr:row>13</xdr:row>
      <xdr:rowOff>114935</xdr:rowOff>
    </xdr:from>
    <xdr:to>
      <xdr:col>73</xdr:col>
      <xdr:colOff>115570</xdr:colOff>
      <xdr:row>14</xdr:row>
      <xdr:rowOff>30480</xdr:rowOff>
    </xdr:to>
    <xdr:cxnSp macro="">
      <xdr:nvCxnSpPr>
        <xdr:cNvPr id="72" name="Straight Connector 48"/>
        <xdr:cNvCxnSpPr>
          <a:stCxn id="74" idx="3"/>
          <a:endCxn id="73" idx="1"/>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P8AA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GMgcj0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0AAAAXAAAAQwKRAw4AAABJAAAAnAC+AARJAAA0FgAAwiAAALsAAAAAAAAAMAAAABQAAAAAAAAAAAD//wAAAQAAAP//AAABAA=="/>
            </a:ext>
          </a:extLst>
        </xdr:cNvCxnSpPr>
      </xdr:nvCxnSpPr>
      <xdr:spPr>
        <a:xfrm rot="16200000" flipH="1">
          <a:off x="11869420" y="3609340"/>
          <a:ext cx="5325110" cy="118745"/>
        </a:xfrm>
        <a:prstGeom prst="straightConnector1">
          <a:avLst/>
        </a:prstGeom>
        <a:noFill/>
        <a:ln w="19050" cap="flat">
          <a:solidFill>
            <a:srgbClr val="FF0000"/>
          </a:solidFill>
          <a:prstDash val="solid"/>
          <a:headEnd type="none" w="med" len="med"/>
          <a:tailEnd type="none" w="med" len="med"/>
        </a:ln>
        <a:effectLst/>
      </xdr:spPr>
    </xdr:cxnSp>
    <xdr:clientData/>
  </xdr:twoCellAnchor>
  <xdr:twoCellAnchor>
    <xdr:from>
      <xdr:col>11</xdr:col>
      <xdr:colOff>210185</xdr:colOff>
      <xdr:row>13</xdr:row>
      <xdr:rowOff>142875</xdr:rowOff>
    </xdr:from>
    <xdr:to>
      <xdr:col>13</xdr:col>
      <xdr:colOff>91440</xdr:colOff>
      <xdr:row>15</xdr:row>
      <xdr:rowOff>41910</xdr:rowOff>
    </xdr:to>
    <xdr:sp macro="" fLocksText="0">
      <xdr:nvSpPr>
        <xdr:cNvPr id="71" name="Rectangle 51"/>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EAAAAAAAAA/wAAAAAAAABH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Q0Ii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0AAAALAAAA0AKqAg8AAAANAAAA1wApAXcwAABgFgAAfgMAANwBAAAAAAAAMAAAABQAAAAAAAAAAAD//wAAAQAAAP//AAABAA=="/>
            </a:ext>
          </a:extLst>
        </xdr:cNvSpPr>
      </xdr:nvSpPr>
      <xdr:spPr>
        <a:xfrm>
          <a:off x="7878445" y="3637280"/>
          <a:ext cx="567690" cy="302260"/>
        </a:xfrm>
        <a:prstGeom prst="rect">
          <a:avLst/>
        </a:prstGeom>
        <a:solidFill>
          <a:srgbClr val="FF0000">
            <a:alpha val="29000"/>
          </a:srgbClr>
        </a:solidFill>
        <a:ln w="25400" cap="flat">
          <a:solidFill>
            <a:srgbClr val="FF0000"/>
          </a:solidFill>
          <a:prstDash val="solid"/>
          <a:headEnd type="none" w="med" len="med"/>
          <a:tailEnd type="none" w="med" len="med"/>
        </a:ln>
        <a:effectLst/>
      </xdr:spPr>
    </xdr:sp>
    <xdr:clientData/>
  </xdr:twoCellAnchor>
  <xdr:twoCellAnchor>
    <xdr:from>
      <xdr:col>22</xdr:col>
      <xdr:colOff>206375</xdr:colOff>
      <xdr:row>13</xdr:row>
      <xdr:rowOff>142875</xdr:rowOff>
    </xdr:from>
    <xdr:to>
      <xdr:col>25</xdr:col>
      <xdr:colOff>635</xdr:colOff>
      <xdr:row>15</xdr:row>
      <xdr:rowOff>41910</xdr:rowOff>
    </xdr:to>
    <xdr:sp macro="" fLocksText="0">
      <xdr:nvSpPr>
        <xdr:cNvPr id="70" name="Rectangle 52"/>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EAAAAAAAAA/wAAAAAAAABH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UiIHM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0AAAAWAAAA0AKeAg8AAAAZAAAA1wAHACNGAABgFgAAvAMAANwBAAAAAAAAMAAAABQAAAAAAAAAAAD//wAAAQAAAP//AAABAA=="/>
            </a:ext>
          </a:extLst>
        </xdr:cNvSpPr>
      </xdr:nvSpPr>
      <xdr:spPr>
        <a:xfrm>
          <a:off x="11401425" y="3637280"/>
          <a:ext cx="607060" cy="302260"/>
        </a:xfrm>
        <a:prstGeom prst="rect">
          <a:avLst/>
        </a:prstGeom>
        <a:solidFill>
          <a:srgbClr val="FF0000">
            <a:alpha val="29000"/>
          </a:srgbClr>
        </a:solidFill>
        <a:ln w="25400" cap="flat">
          <a:solidFill>
            <a:srgbClr val="FF0000"/>
          </a:solidFill>
          <a:prstDash val="solid"/>
          <a:headEnd type="none" w="med" len="med"/>
          <a:tailEnd type="none" w="med" len="med"/>
        </a:ln>
        <a:effectLst/>
      </xdr:spPr>
    </xdr:sp>
    <xdr:clientData/>
  </xdr:twoCellAnchor>
  <xdr:twoCellAnchor>
    <xdr:from>
      <xdr:col>25</xdr:col>
      <xdr:colOff>635</xdr:colOff>
      <xdr:row>14</xdr:row>
      <xdr:rowOff>30480</xdr:rowOff>
    </xdr:from>
    <xdr:to>
      <xdr:col>73</xdr:col>
      <xdr:colOff>115570</xdr:colOff>
      <xdr:row>14</xdr:row>
      <xdr:rowOff>90805</xdr:rowOff>
    </xdr:to>
    <xdr:cxnSp macro="">
      <xdr:nvCxnSpPr>
        <xdr:cNvPr id="69" name="Straight Connector 53"/>
        <xdr:cNvCxnSpPr>
          <a:stCxn id="70" idx="3"/>
          <a:endCxn id="73" idx="1"/>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P8AA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CJBUzQ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4AAAAZAAAAnAAHAA4AAABJAAAA0QG+AN9JAADvFgAA5x8AAF8AAAAAAAAAMAAAABQAAAAAAAAAAAD//wAAAQAAAP//AAABAA=="/>
            </a:ext>
          </a:extLst>
        </xdr:cNvCxnSpPr>
      </xdr:nvCxnSpPr>
      <xdr:spPr>
        <a:xfrm rot="16200000">
          <a:off x="12008485" y="3728085"/>
          <a:ext cx="5186045" cy="60325"/>
        </a:xfrm>
        <a:prstGeom prst="straightConnector1">
          <a:avLst/>
        </a:prstGeom>
        <a:noFill/>
        <a:ln w="19050" cap="flat">
          <a:solidFill>
            <a:srgbClr val="FF0000"/>
          </a:solidFill>
          <a:prstDash val="solid"/>
          <a:headEnd type="none" w="med" len="med"/>
          <a:tailEnd type="none" w="med" len="med"/>
        </a:ln>
        <a:effectLst/>
      </xdr:spPr>
    </xdr:cxnSp>
    <xdr:clientData/>
  </xdr:twoCellAnchor>
  <xdr:twoCellAnchor>
    <xdr:from>
      <xdr:col>3</xdr:col>
      <xdr:colOff>489585</xdr:colOff>
      <xdr:row>17</xdr:row>
      <xdr:rowOff>163195</xdr:rowOff>
    </xdr:from>
    <xdr:to>
      <xdr:col>24</xdr:col>
      <xdr:colOff>18415</xdr:colOff>
      <xdr:row>19</xdr:row>
      <xdr:rowOff>163195</xdr:rowOff>
    </xdr:to>
    <xdr:sp macro="" fLocksText="0">
      <xdr:nvSpPr>
        <xdr:cNvPr id="68" name="Rectangle 56"/>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EAAAAAAAAA/wAAAAAAAABBAAAAAAAAAAAAAAAAAAAAAAAAAAAAAAAAAAAAZAAAAAEAAABAAAAAAAAAAAAAAAAAAAAAAAAAAAAAAAAAAAAAAAAAAAAAAAAAAAAAAAAAAAAAAAAAAAAAAAAAAAAAAAAAAAAAAAAAAAAAAAAAAAAAAAAAAAAAAAAAAAAAFAAAADwAAAABAAAAAAAAAP8AAAAt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0iMT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EAAAADAAAAQwPgAxMAAAAYAAAAQwPHAHwhAABxGwAA6icAAHYCAAAAAAAAMAAAABQAAAAAAAAAAAD//wAAAQAAAP//AAABAA=="/>
            </a:ext>
          </a:extLst>
        </xdr:cNvSpPr>
      </xdr:nvSpPr>
      <xdr:spPr>
        <a:xfrm>
          <a:off x="5443220" y="4460875"/>
          <a:ext cx="6488430" cy="400050"/>
        </a:xfrm>
        <a:prstGeom prst="rect">
          <a:avLst/>
        </a:prstGeom>
        <a:solidFill>
          <a:srgbClr val="FF0000">
            <a:alpha val="35000"/>
          </a:srgbClr>
        </a:solidFill>
        <a:ln w="28575" cap="flat">
          <a:solidFill>
            <a:srgbClr val="FF0000"/>
          </a:solidFill>
          <a:prstDash val="solid"/>
          <a:headEnd type="none" w="med" len="med"/>
          <a:tailEnd type="none" w="med" len="med"/>
        </a:ln>
        <a:effectLst/>
      </xdr:spPr>
    </xdr:sp>
    <xdr:clientData/>
  </xdr:twoCellAnchor>
  <xdr:twoCellAnchor editAs="oneCell">
    <xdr:from>
      <xdr:col>73</xdr:col>
      <xdr:colOff>130810</xdr:colOff>
      <xdr:row>17</xdr:row>
      <xdr:rowOff>34925</xdr:rowOff>
    </xdr:from>
    <xdr:to>
      <xdr:col>78</xdr:col>
      <xdr:colOff>539750</xdr:colOff>
      <xdr:row>19</xdr:row>
      <xdr:rowOff>71755</xdr:rowOff>
    </xdr:to>
    <xdr:sp macro="" fLocksText="0">
      <xdr:nvSpPr>
        <xdr:cNvPr id="67" name="TextBox 57"/>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U2Ii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EAAABJAAAAswDXABMAAABOAAAAbwF1A95pAACnGgAAtxUAALACAAABAAAAMAAAABQAAAAAAAAAAAD//wAAAQAAAP//AAABAA=="/>
            </a:ext>
          </a:extLst>
        </xdr:cNvSpPr>
      </xdr:nvSpPr>
      <xdr:spPr>
        <a:xfrm>
          <a:off x="17209770" y="4332605"/>
          <a:ext cx="3529965" cy="436880"/>
        </a:xfrm>
        <a:prstGeom prst="rect">
          <a:avLst/>
        </a:prstGeom>
        <a:solidFill>
          <a:srgbClr val="FFFFFF"/>
        </a:solidFill>
        <a:ln w="25400" cap="flat">
          <a:solidFill>
            <a:srgbClr val="FF0000"/>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0" i="0" u="none" strike="noStrike" kern="100" baseline="0">
              <a:solidFill>
                <a:srgbClr val="C00000"/>
              </a:solidFill>
              <a:latin typeface="Calibri" pitchFamily="2" charset="0"/>
              <a:ea typeface="Basic Sans" charset="0"/>
              <a:cs typeface="Basic Sans" charset="0"/>
            </a:rPr>
            <a:t>THE LINES CORRESPONDING TO 'DELIVERABLES' MUST NOT BE FILLED IN, PLEASE DO NOT OVERWRITE THEM</a:t>
          </a:r>
        </a:p>
      </xdr:txBody>
    </xdr:sp>
    <xdr:clientData/>
  </xdr:twoCellAnchor>
  <xdr:twoCellAnchor>
    <xdr:from>
      <xdr:col>24</xdr:col>
      <xdr:colOff>18415</xdr:colOff>
      <xdr:row>18</xdr:row>
      <xdr:rowOff>53340</xdr:rowOff>
    </xdr:from>
    <xdr:to>
      <xdr:col>73</xdr:col>
      <xdr:colOff>130810</xdr:colOff>
      <xdr:row>18</xdr:row>
      <xdr:rowOff>163195</xdr:rowOff>
    </xdr:to>
    <xdr:cxnSp macro="">
      <xdr:nvCxnSpPr>
        <xdr:cNvPr id="66" name="Straight Connector 58"/>
        <xdr:cNvCxnSpPr>
          <a:stCxn id="68" idx="3"/>
          <a:endCxn id="67" idx="1"/>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P8AA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HY+PC8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IAAAAYAAAAEQHHABIAAABJAAAAQwPXAGZJAAD/GwAAeCAAAK0AAAAAAAAAMAAAABQAAAAAAAAAAAD//wAAAQAAAP//AAABAA=="/>
            </a:ext>
          </a:extLst>
        </xdr:cNvCxnSpPr>
      </xdr:nvCxnSpPr>
      <xdr:spPr>
        <a:xfrm rot="16200000">
          <a:off x="11931650" y="4551045"/>
          <a:ext cx="5278120" cy="109855"/>
        </a:xfrm>
        <a:prstGeom prst="straightConnector1">
          <a:avLst/>
        </a:prstGeom>
        <a:noFill/>
        <a:ln w="19050" cap="flat">
          <a:solidFill>
            <a:srgbClr val="FF0000"/>
          </a:solidFill>
          <a:prstDash val="solid"/>
          <a:headEnd type="none" w="med" len="med"/>
          <a:tailEnd type="none" w="med" len="med"/>
        </a:ln>
        <a:effectLst/>
      </xdr:spPr>
    </xdr:cxnSp>
    <xdr:clientData/>
  </xdr:twoCellAnchor>
  <xdr:twoCellAnchor editAs="oneCell">
    <xdr:from>
      <xdr:col>73</xdr:col>
      <xdr:colOff>130810</xdr:colOff>
      <xdr:row>23</xdr:row>
      <xdr:rowOff>73660</xdr:rowOff>
    </xdr:from>
    <xdr:to>
      <xdr:col>78</xdr:col>
      <xdr:colOff>529590</xdr:colOff>
      <xdr:row>25</xdr:row>
      <xdr:rowOff>110490</xdr:rowOff>
    </xdr:to>
    <xdr:sp macro="" fLocksText="0">
      <xdr:nvSpPr>
        <xdr:cNvPr id="65" name="TextBox 62"/>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0iMT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cAAABJAAAAeQHXABkAAABOAAAANgJlA95pAABGIgAApxUAALACAAABAAAAMAAAABQAAAAAAAAAAAD//wAAAQAAAP//AAABAA=="/>
            </a:ext>
          </a:extLst>
        </xdr:cNvSpPr>
      </xdr:nvSpPr>
      <xdr:spPr>
        <a:xfrm>
          <a:off x="17209770" y="5571490"/>
          <a:ext cx="3519805" cy="436880"/>
        </a:xfrm>
        <a:prstGeom prst="rect">
          <a:avLst/>
        </a:prstGeom>
        <a:solidFill>
          <a:srgbClr val="FFFFFF"/>
        </a:solidFill>
        <a:ln w="25400" cap="flat">
          <a:solidFill>
            <a:srgbClr val="FF0000"/>
          </a:solidFill>
          <a:prstDash val="solid"/>
          <a:headEnd type="none" w="med" len="med"/>
          <a:tailEnd type="none" w="med" len="med"/>
        </a:ln>
        <a:effectLst/>
      </xdr:spPr>
      <xdr:txBody>
        <a:bodyPr spcFirstLastPara="1" vertOverflow="clip" horzOverflow="clip" wrap="square" lIns="91440" tIns="45720" rIns="91440" bIns="45720" anchor="t" upright="1"/>
        <a:lstStyle/>
        <a:p>
          <a:pPr algn="l" defTabSz="360045" rtl="0">
            <a:defRPr sz="1000"/>
          </a:pPr>
          <a:r>
            <a:rPr lang="en-us" sz="1100" b="0" i="0" u="none" strike="noStrike" kern="100" baseline="0">
              <a:solidFill>
                <a:srgbClr val="C00000"/>
              </a:solidFill>
              <a:latin typeface="Calibri" pitchFamily="2" charset="0"/>
              <a:ea typeface="Basic Sans" charset="0"/>
              <a:cs typeface="Basic Sans" charset="0"/>
            </a:rPr>
            <a:t>THE ROWS BELOW THE 'MONTHS' COLUMNS ARE FILLED IN AUTOMATICALLY, SO DO NOT OVERWRITE THEM</a:t>
          </a:r>
        </a:p>
      </xdr:txBody>
    </xdr:sp>
    <xdr:clientData/>
  </xdr:twoCellAnchor>
  <xdr:twoCellAnchor>
    <xdr:from>
      <xdr:col>58</xdr:col>
      <xdr:colOff>27305</xdr:colOff>
      <xdr:row>24</xdr:row>
      <xdr:rowOff>92075</xdr:rowOff>
    </xdr:from>
    <xdr:to>
      <xdr:col>73</xdr:col>
      <xdr:colOff>130810</xdr:colOff>
      <xdr:row>25</xdr:row>
      <xdr:rowOff>17145</xdr:rowOff>
    </xdr:to>
    <xdr:cxnSp macro="">
      <xdr:nvCxnSpPr>
        <xdr:cNvPr id="64" name="Straight Connector 63"/>
        <xdr:cNvCxnSpPr>
          <a:stCxn id="63" idx="6"/>
          <a:endCxn id="65" idx="1"/>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P8AA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QiLz4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gAAAA6AAAA1wEoARkAAABJAAAAWADXAD5dAACeIwAAoAwAAMUAAAAAAAAAMAAAABQAAAAAAAAAAAD//wAAAQAAAP//AAABAA=="/>
            </a:ext>
          </a:extLst>
        </xdr:cNvCxnSpPr>
      </xdr:nvCxnSpPr>
      <xdr:spPr>
        <a:xfrm rot="16200000">
          <a:off x="15157450" y="5789930"/>
          <a:ext cx="2052320" cy="125095"/>
        </a:xfrm>
        <a:prstGeom prst="straightConnector1">
          <a:avLst/>
        </a:prstGeom>
        <a:noFill/>
        <a:ln w="19050" cap="flat">
          <a:solidFill>
            <a:srgbClr val="FF0000"/>
          </a:solidFill>
          <a:prstDash val="solid"/>
          <a:headEnd type="none" w="med" len="med"/>
          <a:tailEnd type="none" w="med" len="med"/>
        </a:ln>
        <a:effectLst/>
      </xdr:spPr>
    </xdr:cxnSp>
    <xdr:clientData/>
  </xdr:twoCellAnchor>
  <xdr:twoCellAnchor>
    <xdr:from>
      <xdr:col>38</xdr:col>
      <xdr:colOff>63500</xdr:colOff>
      <xdr:row>21</xdr:row>
      <xdr:rowOff>4445</xdr:rowOff>
    </xdr:from>
    <xdr:to>
      <xdr:col>58</xdr:col>
      <xdr:colOff>27305</xdr:colOff>
      <xdr:row>29</xdr:row>
      <xdr:rowOff>26035</xdr:rowOff>
    </xdr:to>
    <xdr:sp macro="" fLocksText="0">
      <xdr:nvSpPr>
        <xdr:cNvPr id="63" name="Oval 38"/>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EAAAAAAAAA/wAAAAAAAABH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EyIi8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UAAAAmAAAAFwCvAh0AAAA6AAAAgwAoAdNRAABjHwAAawsAAP8JAAAAAAAAMAAAABQAAAAAAAAAAAD//wAAAQAAAP//AAABAA=="/>
            </a:ext>
          </a:extLst>
        </xdr:cNvSpPr>
      </xdr:nvSpPr>
      <xdr:spPr>
        <a:xfrm>
          <a:off x="13301345" y="5102225"/>
          <a:ext cx="1856105" cy="1624965"/>
        </a:xfrm>
        <a:prstGeom prst="ellipse">
          <a:avLst/>
        </a:prstGeom>
        <a:solidFill>
          <a:srgbClr val="FF0000">
            <a:alpha val="29000"/>
          </a:srgbClr>
        </a:solidFill>
        <a:ln w="25400" cap="flat">
          <a:solidFill>
            <a:srgbClr val="FF0000"/>
          </a:solidFill>
          <a:prstDash val="solid"/>
          <a:headEnd type="none" w="med" len="med"/>
          <a:tailEnd type="none" w="med" len="med"/>
        </a:ln>
        <a:effectLst/>
      </xdr:spPr>
    </xdr:sp>
    <xdr:clientData/>
  </xdr:twoCellAnchor>
  <xdr:twoCellAnchor>
    <xdr:from>
      <xdr:col>0</xdr:col>
      <xdr:colOff>1892300</xdr:colOff>
      <xdr:row>44</xdr:row>
      <xdr:rowOff>130175</xdr:rowOff>
    </xdr:from>
    <xdr:to>
      <xdr:col>1</xdr:col>
      <xdr:colOff>2141855</xdr:colOff>
      <xdr:row>46</xdr:row>
      <xdr:rowOff>77470</xdr:rowOff>
    </xdr:to>
    <xdr:sp macro="" fLocksText="0">
      <xdr:nvSpPr>
        <xdr:cNvPr id="62" name="Oval 39"/>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CwU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GMgcj0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wAAAAAAAAAkAKJAy4AAAABAAAAjQHVA6QLAACAPAAAtQ4AAGMDAAAAAAAAMAAAABQAAAAAAAAAAAD//wAAAQAAAP//AAABAA=="/>
            </a:ext>
          </a:extLst>
        </xdr:cNvSpPr>
      </xdr:nvSpPr>
      <xdr:spPr>
        <a:xfrm>
          <a:off x="1892300" y="9834880"/>
          <a:ext cx="2390775" cy="550545"/>
        </a:xfrm>
        <a:prstGeom prst="ellipse">
          <a:avLst/>
        </a:prstGeom>
        <a:noFill/>
        <a:ln w="25400" cap="flat">
          <a:solidFill>
            <a:srgbClr val="00B050"/>
          </a:solidFill>
          <a:prstDash val="solid"/>
          <a:headEnd type="none" w="med" len="med"/>
          <a:tailEnd type="none" w="med" len="med"/>
        </a:ln>
        <a:effectLst/>
      </xdr:spPr>
    </xdr:sp>
    <xdr:clientData/>
  </xdr:twoCellAnchor>
  <xdr:twoCellAnchor editAs="oneCell">
    <xdr:from>
      <xdr:col>0</xdr:col>
      <xdr:colOff>179705</xdr:colOff>
      <xdr:row>52</xdr:row>
      <xdr:rowOff>74930</xdr:rowOff>
    </xdr:from>
    <xdr:to>
      <xdr:col>0</xdr:col>
      <xdr:colOff>1762760</xdr:colOff>
      <xdr:row>54</xdr:row>
      <xdr:rowOff>111760</xdr:rowOff>
    </xdr:to>
    <xdr:sp macro="" fLocksText="0">
      <xdr:nvSpPr>
        <xdr:cNvPr id="61" name="TextBox 41"/>
        <xdr:cNvSpPr>
          <a:extLst>
            <a:ext uri="smNativeData">
              <pm:smNativeData xmlns:pm="smNativeData" val="SMDATA_14_nJsLaBMAAAAlAAAAZAAAAM0AAAAAkAAAAEgAAACQAAAASAAAAAAAAAAB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CwU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48Zi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QAAAAAAAAAgAFWADYAAAAAAAAAPAJLAxsBAABBRwAAvgkAALACAAABAAAAMAAAABQAAAAAAAAAAAD//wAAAQAAAP//AAABAA=="/>
            </a:ext>
          </a:extLst>
        </xdr:cNvSpPr>
      </xdr:nvSpPr>
      <xdr:spPr>
        <a:xfrm>
          <a:off x="179705" y="11583035"/>
          <a:ext cx="1583690" cy="436880"/>
        </a:xfrm>
        <a:prstGeom prst="rect">
          <a:avLst/>
        </a:prstGeom>
        <a:solidFill>
          <a:srgbClr val="FFFFFF"/>
        </a:solidFill>
        <a:ln w="25400" cap="flat">
          <a:solidFill>
            <a:srgbClr val="00B050"/>
          </a:solidFill>
          <a:prstDash val="solid"/>
          <a:headEnd type="none" w="med" len="med"/>
          <a:tailEnd type="none" w="med" len="med"/>
        </a:ln>
        <a:effectLst/>
      </xdr:spPr>
      <xdr:txBody>
        <a:bodyPr spcFirstLastPara="1" vertOverflow="clip" horzOverflow="clip" wrap="square" lIns="91440" tIns="45720" rIns="91440" bIns="45720" anchor="ctr" upright="1"/>
        <a:lstStyle/>
        <a:p>
          <a:pPr algn="ctr" defTabSz="360045" rtl="0">
            <a:defRPr sz="1000"/>
          </a:pPr>
          <a:r>
            <a:rPr lang="en-us" sz="1100" b="0" i="0" u="none" strike="noStrike" kern="100" baseline="0">
              <a:solidFill>
                <a:srgbClr val="00B050"/>
              </a:solidFill>
              <a:latin typeface="Calibri" pitchFamily="2" charset="0"/>
              <a:ea typeface="Basic Sans" charset="0"/>
              <a:cs typeface="Basic Sans" charset="0"/>
            </a:rPr>
            <a:t>THESE WORK PACKAGES</a:t>
          </a:r>
        </a:p>
        <a:p>
          <a:pPr algn="ctr" defTabSz="360045" rtl="0">
            <a:defRPr sz="1000"/>
          </a:pPr>
          <a:r>
            <a:rPr lang="en-us" sz="1100" b="0" i="0" u="none" strike="noStrike" kern="100" baseline="0">
              <a:solidFill>
                <a:srgbClr val="00B050"/>
              </a:solidFill>
              <a:latin typeface="Calibri" pitchFamily="2" charset="0"/>
              <a:ea typeface="Basic Sans" charset="0"/>
              <a:cs typeface="Basic Sans" charset="0"/>
            </a:rPr>
            <a:t>ARE MANDATORY</a:t>
          </a:r>
        </a:p>
      </xdr:txBody>
    </xdr:sp>
    <xdr:clientData/>
  </xdr:twoCellAnchor>
  <xdr:twoCellAnchor>
    <xdr:from>
      <xdr:col>0</xdr:col>
      <xdr:colOff>1762760</xdr:colOff>
      <xdr:row>46</xdr:row>
      <xdr:rowOff>77470</xdr:rowOff>
    </xdr:from>
    <xdr:to>
      <xdr:col>1</xdr:col>
      <xdr:colOff>947420</xdr:colOff>
      <xdr:row>53</xdr:row>
      <xdr:rowOff>93345</xdr:rowOff>
    </xdr:to>
    <xdr:cxnSp macro="">
      <xdr:nvCxnSpPr>
        <xdr:cNvPr id="60" name="Straight Connector 44"/>
        <xdr:cNvCxnSpPr>
          <a:stCxn id="61" idx="3"/>
          <a:endCxn id="62" idx="4"/>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CwU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HI9Ik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4AAAAAAAAAjQFLAzUAAAABAAAA3gGyAdgKAADjPwAAKAgAALYIAAAAAAAAMAAAABQAAAAAAAAAAAD//wAAAQAAAP//AAABAA=="/>
            </a:ext>
          </a:extLst>
        </xdr:cNvCxnSpPr>
      </xdr:nvCxnSpPr>
      <xdr:spPr>
        <a:xfrm rot="16200000">
          <a:off x="1762760" y="10385425"/>
          <a:ext cx="1325880" cy="1416050"/>
        </a:xfrm>
        <a:prstGeom prst="straightConnector1">
          <a:avLst/>
        </a:prstGeom>
        <a:noFill/>
        <a:ln w="19050" cap="flat">
          <a:solidFill>
            <a:srgbClr val="00B050"/>
          </a:solidFill>
          <a:prstDash val="solid"/>
          <a:headEnd type="none" w="med" len="med"/>
          <a:tailEnd type="none" w="med" len="med"/>
        </a:ln>
        <a:effectLst/>
      </xdr:spPr>
    </xdr:cxnSp>
    <xdr:clientData/>
  </xdr:twoCellAnchor>
  <xdr:twoCellAnchor>
    <xdr:from>
      <xdr:col>0</xdr:col>
      <xdr:colOff>1762760</xdr:colOff>
      <xdr:row>53</xdr:row>
      <xdr:rowOff>93345</xdr:rowOff>
    </xdr:from>
    <xdr:to>
      <xdr:col>1</xdr:col>
      <xdr:colOff>997585</xdr:colOff>
      <xdr:row>60</xdr:row>
      <xdr:rowOff>134620</xdr:rowOff>
    </xdr:to>
    <xdr:cxnSp macro="">
      <xdr:nvCxnSpPr>
        <xdr:cNvPr id="59" name="Straight Connector 54"/>
        <xdr:cNvCxnSpPr>
          <a:stCxn id="61" idx="3"/>
          <a:endCxn id="58" idx="0"/>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CwU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HI9IkE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UAAAAAAAAA3gFLAzwAAAABAAAApgLJAdgKAACZSAAAdwgAAN4IAAAAAAAAMAAAABQAAAAAAAAAAAD//wAAAQAAAP//AAABAA=="/>
            </a:ext>
          </a:extLst>
        </xdr:cNvCxnSpPr>
      </xdr:nvCxnSpPr>
      <xdr:spPr>
        <a:xfrm rot="16200000" flipH="1">
          <a:off x="1762760" y="11801475"/>
          <a:ext cx="1376045" cy="1441450"/>
        </a:xfrm>
        <a:prstGeom prst="straightConnector1">
          <a:avLst/>
        </a:prstGeom>
        <a:noFill/>
        <a:ln w="19050" cap="flat">
          <a:solidFill>
            <a:srgbClr val="00B050"/>
          </a:solidFill>
          <a:prstDash val="solid"/>
          <a:headEnd type="none" w="med" len="med"/>
          <a:tailEnd type="none" w="med" len="med"/>
        </a:ln>
        <a:effectLst/>
      </xdr:spPr>
    </xdr:cxnSp>
    <xdr:clientData/>
  </xdr:twoCellAnchor>
  <xdr:twoCellAnchor>
    <xdr:from>
      <xdr:col>0</xdr:col>
      <xdr:colOff>1802765</xdr:colOff>
      <xdr:row>60</xdr:row>
      <xdr:rowOff>134620</xdr:rowOff>
    </xdr:from>
    <xdr:to>
      <xdr:col>2</xdr:col>
      <xdr:colOff>98425</xdr:colOff>
      <xdr:row>62</xdr:row>
      <xdr:rowOff>74930</xdr:rowOff>
    </xdr:to>
    <xdr:sp macro="" fLocksText="0">
      <xdr:nvSpPr>
        <xdr:cNvPr id="58" name="Oval 55"/>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CwU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IiIHM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wAAAAAAAAApgJeAz4AAAACAAAAgAGvABcLAAB3UQAAcRAAAFgDAAAAAAAAMAAAABQAAAAAAAAAAAD//wAAAQAAAP//AAABAA=="/>
            </a:ext>
          </a:extLst>
        </xdr:cNvSpPr>
      </xdr:nvSpPr>
      <xdr:spPr>
        <a:xfrm>
          <a:off x="1802765" y="13242925"/>
          <a:ext cx="2672715" cy="543560"/>
        </a:xfrm>
        <a:prstGeom prst="ellipse">
          <a:avLst/>
        </a:prstGeom>
        <a:noFill/>
        <a:ln w="25400" cap="flat">
          <a:solidFill>
            <a:srgbClr val="00B050"/>
          </a:solidFill>
          <a:prstDash val="solid"/>
          <a:headEnd type="none" w="med" len="med"/>
          <a:tailEnd type="none" w="med" len="med"/>
        </a:ln>
        <a:effectLst/>
      </xdr:spPr>
    </xdr:sp>
    <xdr:clientData/>
  </xdr:twoCellAnchor>
  <xdr:twoCellAnchor>
    <xdr:from>
      <xdr:col>0</xdr:col>
      <xdr:colOff>2003425</xdr:colOff>
      <xdr:row>13</xdr:row>
      <xdr:rowOff>116205</xdr:rowOff>
    </xdr:from>
    <xdr:to>
      <xdr:col>1</xdr:col>
      <xdr:colOff>1399540</xdr:colOff>
      <xdr:row>17</xdr:row>
      <xdr:rowOff>124460</xdr:rowOff>
    </xdr:to>
    <xdr:sp macro="" fLocksText="0">
      <xdr:nvSpPr>
        <xdr:cNvPr id="57" name="Oval 64"/>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EyIi8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0AAAAAAAAASgK+AxEAAAABAAAAfQKBAlMMAAA2FgAAdQkAAP4EAAAAAAAAMAAAABQAAAAAAAAAAAD//wAAAQAAAP//AAABAA=="/>
            </a:ext>
          </a:extLst>
        </xdr:cNvSpPr>
      </xdr:nvSpPr>
      <xdr:spPr>
        <a:xfrm>
          <a:off x="2003425" y="3610610"/>
          <a:ext cx="1537335" cy="811530"/>
        </a:xfrm>
        <a:prstGeom prst="ellipse">
          <a:avLst/>
        </a:prstGeom>
        <a:noFill/>
        <a:ln w="25400" cap="flat">
          <a:solidFill>
            <a:srgbClr val="0070C0"/>
          </a:solidFill>
          <a:prstDash val="solid"/>
          <a:headEnd type="none" w="med" len="med"/>
          <a:tailEnd type="none" w="med" len="med"/>
        </a:ln>
        <a:effectLst/>
      </xdr:spPr>
    </xdr:sp>
    <xdr:clientData/>
  </xdr:twoCellAnchor>
  <xdr:twoCellAnchor editAs="oneCell">
    <xdr:from>
      <xdr:col>0</xdr:col>
      <xdr:colOff>27305</xdr:colOff>
      <xdr:row>13</xdr:row>
      <xdr:rowOff>29210</xdr:rowOff>
    </xdr:from>
    <xdr:to>
      <xdr:col>0</xdr:col>
      <xdr:colOff>1737360</xdr:colOff>
      <xdr:row>16</xdr:row>
      <xdr:rowOff>34925</xdr:rowOff>
    </xdr:to>
    <xdr:sp macro="" fLocksText="0">
      <xdr:nvSpPr>
        <xdr:cNvPr id="56" name="TextBox 65"/>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0iNDQ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0AAAAAAAAAkwANABAAAAAAAAAAswA/AysAAACtFQAAhQoAAL8DAAABAAAAMAAAABQAAAAAAAAAAAD//wAAAQAAAP//AAABAA=="/>
            </a:ext>
          </a:extLst>
        </xdr:cNvSpPr>
      </xdr:nvSpPr>
      <xdr:spPr>
        <a:xfrm>
          <a:off x="27305" y="3523615"/>
          <a:ext cx="1710055" cy="608965"/>
        </a:xfrm>
        <a:prstGeom prst="rect">
          <a:avLst/>
        </a:prstGeom>
        <a:solidFill>
          <a:srgbClr val="FFFFFF"/>
        </a:solidFill>
        <a:ln w="25400" cap="flat">
          <a:solidFill>
            <a:srgbClr val="0070C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0070C0"/>
              </a:solidFill>
              <a:latin typeface="Calibri" pitchFamily="2" charset="0"/>
              <a:ea typeface="Basic Sans" charset="0"/>
              <a:cs typeface="Basic Sans" charset="0"/>
            </a:rPr>
            <a:t>NAME YOUR WORK PACKAGES, TASKS AND</a:t>
          </a:r>
        </a:p>
        <a:p>
          <a:pPr algn="ctr" defTabSz="360045" rtl="0">
            <a:defRPr sz="1000"/>
          </a:pPr>
          <a:r>
            <a:rPr lang="en-us" sz="1100" b="0" i="0" u="none" strike="noStrike" kern="100" baseline="0">
              <a:solidFill>
                <a:srgbClr val="0070C0"/>
              </a:solidFill>
              <a:latin typeface="Calibri" pitchFamily="2" charset="0"/>
              <a:ea typeface="Basic Sans" charset="0"/>
              <a:cs typeface="Basic Sans" charset="0"/>
            </a:rPr>
            <a:t>DELIVERABLES</a:t>
          </a:r>
        </a:p>
      </xdr:txBody>
    </xdr:sp>
    <xdr:clientData/>
  </xdr:twoCellAnchor>
  <xdr:twoCellAnchor>
    <xdr:from>
      <xdr:col>0</xdr:col>
      <xdr:colOff>1737360</xdr:colOff>
      <xdr:row>14</xdr:row>
      <xdr:rowOff>130810</xdr:rowOff>
    </xdr:from>
    <xdr:to>
      <xdr:col>0</xdr:col>
      <xdr:colOff>2003425</xdr:colOff>
      <xdr:row>15</xdr:row>
      <xdr:rowOff>118745</xdr:rowOff>
    </xdr:to>
    <xdr:cxnSp macro="">
      <xdr:nvCxnSpPr>
        <xdr:cNvPr id="55" name="Straight Connector 66"/>
        <xdr:cNvCxnSpPr>
          <a:stCxn id="56" idx="3"/>
          <a:endCxn id="57" idx="2"/>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Bww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AiLz4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4AAAAAAAAAngI/Aw8AAAAAAAAAYAK+A7AKAACNFwAAowEAACgBAAAAAAAAMAAAABQAAAAAAAAAAAD//wAAAQAAAP//AAABAA=="/>
            </a:ext>
          </a:extLst>
        </xdr:cNvCxnSpPr>
      </xdr:nvCxnSpPr>
      <xdr:spPr>
        <a:xfrm rot="16200000" flipH="1">
          <a:off x="1737360" y="3828415"/>
          <a:ext cx="266065" cy="187960"/>
        </a:xfrm>
        <a:prstGeom prst="straightConnector1">
          <a:avLst/>
        </a:prstGeom>
        <a:noFill/>
        <a:ln w="19050" cap="flat">
          <a:solidFill>
            <a:srgbClr val="0070C0"/>
          </a:solidFill>
          <a:prstDash val="solid"/>
          <a:headEnd type="none" w="med" len="med"/>
          <a:tailEnd type="none" w="med" len="med"/>
        </a:ln>
        <a:effectLst/>
      </xdr:spPr>
    </xdr:cxnSp>
    <xdr:clientData/>
  </xdr:twoCellAnchor>
  <xdr:twoCellAnchor>
    <xdr:from>
      <xdr:col>0</xdr:col>
      <xdr:colOff>1802765</xdr:colOff>
      <xdr:row>2</xdr:row>
      <xdr:rowOff>84455</xdr:rowOff>
    </xdr:from>
    <xdr:to>
      <xdr:col>1</xdr:col>
      <xdr:colOff>41275</xdr:colOff>
      <xdr:row>4</xdr:row>
      <xdr:rowOff>13335</xdr:rowOff>
    </xdr:to>
    <xdr:sp macro="" fLocksText="0">
      <xdr:nvSpPr>
        <xdr:cNvPr id="54" name="Oval 67"/>
        <xdr:cNvSpPr>
          <a:extLst>
            <a:ext uri="smNativeData">
              <pm:smNativeData xmlns:pm="smNativeData" val="SMDATA_14_nJsLaBMAAAAlAAAAZgAAAI0AAAAAkAAAAEgAAACQAAAASAAAAAAAAAABAAAAAAAAAAEAAABQAAAAAAAAAAAA8D8AAAAAAADwPwAAAAAAAOA/AAAAAAAA4D8AAAAAAADgPwAAAAAAAOA/AAAAAAAA4D8AAAAAAADgPwAAAAAAAOA/AAAAAAAA4D8CAAAAjAAAAAEAAAAAAAAAACBgAAAAAAAAAAAAAAAAAAAAAAAAAAAAAAAAAAAAAAAAAAAAZAAAAAEAAABAAAAAAAAAAAAAAAAAAAAAAAAAAAAAAAAAAAAAAAAAAAAAAAAAAAAAAAAAAAAAAAAAAAAAAAAAAAAAAAAAAAAAAAAAAAAAAAAAAAAAAAAAAAAAAAAAAAAAFAAAADwAAAAAAAAAAAAAADtgj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IAAAAAAAAAuQFeAwQAAAABAAAARgATABcLAADvAgAAVgIAAPoBAAAAAAAAMAAAABQAAAAAAAAA/Er//wS1AAD8Sv//BLUAAA=="/>
            </a:ext>
          </a:extLst>
        </xdr:cNvSpPr>
      </xdr:nvSpPr>
      <xdr:spPr>
        <a:xfrm>
          <a:off x="1802765" y="476885"/>
          <a:ext cx="379730" cy="321310"/>
        </a:xfrm>
        <a:prstGeom prst="ellipse">
          <a:avLst/>
        </a:prstGeom>
        <a:solidFill>
          <a:srgbClr val="002060"/>
        </a:solidFill>
        <a:ln w="25400" cap="flat">
          <a:noFill/>
          <a:prstDash val="solid"/>
          <a:headEnd type="none" w="med" len="med"/>
          <a:tailEnd type="none" w="med" len="med"/>
        </a:ln>
        <a:effectLst/>
      </xdr:spPr>
      <xdr:txBody>
        <a:bodyPr spcFirstLastPara="1" vertOverflow="clip" horzOverflow="clip" wrap="square" lIns="91440" tIns="45720" rIns="91440" bIns="45720" anchor="ctr" upright="1"/>
        <a:lstStyle/>
        <a:p>
          <a:pPr algn="ctr" defTabSz="360045" rtl="0">
            <a:defRPr sz="1000"/>
          </a:pPr>
          <a:r>
            <a:rPr lang="en-us" sz="1200" b="1" i="0" u="none" strike="noStrike" kern="100" baseline="0">
              <a:solidFill>
                <a:srgbClr val="FFFFFF"/>
              </a:solidFill>
              <a:latin typeface="Calibri" pitchFamily="2" charset="0"/>
              <a:ea typeface="Basic Sans" charset="0"/>
              <a:cs typeface="Basic Sans" charset="0"/>
            </a:rPr>
            <a:t>1</a:t>
          </a:r>
        </a:p>
      </xdr:txBody>
    </xdr:sp>
    <xdr:clientData/>
  </xdr:twoCellAnchor>
  <xdr:twoCellAnchor>
    <xdr:from>
      <xdr:col>0</xdr:col>
      <xdr:colOff>447675</xdr:colOff>
      <xdr:row>8</xdr:row>
      <xdr:rowOff>54610</xdr:rowOff>
    </xdr:from>
    <xdr:to>
      <xdr:col>0</xdr:col>
      <xdr:colOff>740410</xdr:colOff>
      <xdr:row>9</xdr:row>
      <xdr:rowOff>162560</xdr:rowOff>
    </xdr:to>
    <xdr:sp macro="" fLocksText="0">
      <xdr:nvSpPr>
        <xdr:cNvPr id="53" name="Oval 68"/>
        <xdr:cNvSpPr>
          <a:extLst>
            <a:ext uri="smNativeData">
              <pm:smNativeData xmlns:pm="smNativeData" val="SMDATA_14_nJsLaBMAAAAlAAAAZgAAAI0AAAAAkAAAAEgAAACQAAAASAAAAAAAAAABAAAAAAAAAAEAAABQAAAAAAAAAAAA8D8AAAAAAADwPwAAAAAAAOA/AAAAAAAA4D8AAAAAAADgPwAAAAAAAOA/AAAAAAAA4D8AAAAAAADgPwAAAAAAAOA/AAAAAAAA4D8CAAAAjAAAAAEAAAAAAAAAACBgAAAAAAAAAAAAAAAAAAAAAAAAAAAAAAAAAAAAAAAAAAAAZAAAAAEAAABAAAAAAAAAAAAAAAAAAAAAAAAAAAAAAAAAAAAAAAAAAAAAAAAAAAAAAAAAAAAAAAAAAAAAAAAAAAAAAAAAAAAAAAAAAAAAAAAAAAAAAAAAAAAAAAAAAAAAFAAAADwAAAAAAAAAAAAAADtgj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BAn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gAAAAAAAAAHQHWAAkAAAAAAAAAUANiAcECAAD+CQAAzQEAAN8BAAAAAAAAMAAAABQAAAAAAAAA/Er//wS1AAD8Sv//BLUAAA=="/>
            </a:ext>
          </a:extLst>
        </xdr:cNvSpPr>
      </xdr:nvSpPr>
      <xdr:spPr>
        <a:xfrm>
          <a:off x="447675" y="1624330"/>
          <a:ext cx="292735" cy="304165"/>
        </a:xfrm>
        <a:prstGeom prst="ellipse">
          <a:avLst/>
        </a:prstGeom>
        <a:solidFill>
          <a:srgbClr val="002060"/>
        </a:solidFill>
        <a:ln w="25400" cap="flat">
          <a:noFill/>
          <a:prstDash val="solid"/>
          <a:headEnd type="none" w="med" len="med"/>
          <a:tailEnd type="none" w="med" len="med"/>
        </a:ln>
        <a:effectLst/>
      </xdr:spPr>
      <xdr:txBody>
        <a:bodyPr spcFirstLastPara="1" vertOverflow="clip" horzOverflow="clip" wrap="square" lIns="91440" tIns="45720" rIns="91440" bIns="45720" anchor="ctr" upright="1"/>
        <a:lstStyle/>
        <a:p>
          <a:pPr algn="ctr" defTabSz="360045" rtl="0">
            <a:defRPr sz="1000"/>
          </a:pPr>
          <a:r>
            <a:rPr lang="en-us" sz="1200" b="1" i="0" u="none" strike="noStrike" kern="100" baseline="0">
              <a:solidFill>
                <a:srgbClr val="FFFFFF"/>
              </a:solidFill>
              <a:latin typeface="Calibri" pitchFamily="2" charset="0"/>
              <a:ea typeface="Basic Sans" charset="0"/>
              <a:cs typeface="Basic Sans" charset="0"/>
            </a:rPr>
            <a:t>2</a:t>
          </a:r>
        </a:p>
      </xdr:txBody>
    </xdr:sp>
    <xdr:clientData/>
  </xdr:twoCellAnchor>
  <xdr:twoCellAnchor>
    <xdr:from>
      <xdr:col>5</xdr:col>
      <xdr:colOff>250825</xdr:colOff>
      <xdr:row>0</xdr:row>
      <xdr:rowOff>125730</xdr:rowOff>
    </xdr:from>
    <xdr:to>
      <xdr:col>6</xdr:col>
      <xdr:colOff>250825</xdr:colOff>
      <xdr:row>2</xdr:row>
      <xdr:rowOff>53975</xdr:rowOff>
    </xdr:to>
    <xdr:sp macro="" fLocksText="0">
      <xdr:nvSpPr>
        <xdr:cNvPr id="52" name="Oval 69"/>
        <xdr:cNvSpPr>
          <a:extLst>
            <a:ext uri="smNativeData">
              <pm:smNativeData xmlns:pm="smNativeData" val="SMDATA_14_nJsLaBMAAAAlAAAAZgAAAI0AAAAAkAAAAEgAAACQAAAASAAAAAAAAAABAAAAAAAAAAEAAABQAAAAAAAAAAAA8D8AAAAAAADwPwAAAAAAAOA/AAAAAAAA4D8AAAAAAADgPwAAAAAAAOA/AAAAAAAA4D8AAAAAAADgPwAAAAAAAOA/AAAAAAAA4D8CAAAAjAAAAAEAAAAAAAAAACBgAAAAAAAAAAAAAAAAAAAAAAAAAAAAAAAAAAAAAAAAAAAAZAAAAAEAAABAAAAAAAAAAAAAAAAAAAAAAAAAAAAAAAAAAAAAAAAAAAAAAAAAAAAAAAAAAAAAAAAAAAAAAAAAAAAAAAAAAAAAAAAAAAAAAAAAAAAAAAAAAAAAAAAAAAAAFAAAADwAAAAAAAAAAAAAADtgj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E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AAAAAFAAAAkAIuAwIAAAAGAAAAGgEuAxElAADGAAAA8QEAAPkBAAAAAAAAMAAAABQAAAAAAAAA/Er//wS1AAD8Sv//BLUAAA=="/>
            </a:ext>
          </a:extLst>
        </xdr:cNvSpPr>
      </xdr:nvSpPr>
      <xdr:spPr>
        <a:xfrm>
          <a:off x="6025515" y="125730"/>
          <a:ext cx="315595" cy="320675"/>
        </a:xfrm>
        <a:prstGeom prst="ellipse">
          <a:avLst/>
        </a:prstGeom>
        <a:solidFill>
          <a:srgbClr val="002060"/>
        </a:solidFill>
        <a:ln w="25400" cap="flat">
          <a:noFill/>
          <a:prstDash val="solid"/>
          <a:headEnd type="none" w="med" len="med"/>
          <a:tailEnd type="none" w="med" len="med"/>
        </a:ln>
        <a:effectLst/>
      </xdr:spPr>
      <xdr:txBody>
        <a:bodyPr spcFirstLastPara="1" vertOverflow="clip" horzOverflow="clip" wrap="square" lIns="91440" tIns="45720" rIns="91440" bIns="45720" anchor="ctr" upright="1"/>
        <a:lstStyle/>
        <a:p>
          <a:pPr algn="ctr" defTabSz="360045" rtl="0">
            <a:defRPr sz="1000"/>
          </a:pPr>
          <a:r>
            <a:rPr lang="en-us" sz="1200" b="1" i="0" u="none" strike="noStrike" kern="100" baseline="0">
              <a:solidFill>
                <a:srgbClr val="FFFFFF"/>
              </a:solidFill>
              <a:latin typeface="Calibri" pitchFamily="2" charset="0"/>
              <a:ea typeface="Basic Sans" charset="0"/>
              <a:cs typeface="Basic Sans" charset="0"/>
            </a:rPr>
            <a:t>3</a:t>
          </a:r>
        </a:p>
      </xdr:txBody>
    </xdr:sp>
    <xdr:clientData/>
  </xdr:twoCellAnchor>
  <xdr:twoCellAnchor>
    <xdr:from>
      <xdr:col>12</xdr:col>
      <xdr:colOff>50800</xdr:colOff>
      <xdr:row>2</xdr:row>
      <xdr:rowOff>132715</xdr:rowOff>
    </xdr:from>
    <xdr:to>
      <xdr:col>13</xdr:col>
      <xdr:colOff>33655</xdr:colOff>
      <xdr:row>4</xdr:row>
      <xdr:rowOff>60960</xdr:rowOff>
    </xdr:to>
    <xdr:sp macro="" fLocksText="0">
      <xdr:nvSpPr>
        <xdr:cNvPr id="51" name="Oval 70"/>
        <xdr:cNvSpPr>
          <a:extLst>
            <a:ext uri="smNativeData">
              <pm:smNativeData xmlns:pm="smNativeData" val="SMDATA_14_nJsLaBMAAAAlAAAAZgAAAI0AAAAAkAAAAEgAAACQAAAASAAAAAAAAAABAAAAAAAAAAEAAABQAAAAAAAAAAAA8D8AAAAAAADwPwAAAAAAAOA/AAAAAAAA4D8AAAAAAADgPwAAAAAAAOA/AAAAAAAA4D8AAAAAAADgPwAAAAAAAOA/AAAAAAAA4D8CAAAAjAAAAAEAAAAAAAAAACBgAAAAAAAAAAAAAAAAAAAAAAAAAAAAAAAAAAAAAAAAAAAAZAAAAAEAAABAAAAAAAAAAAAAAAAAAAAAAAAAAAAAAAAAAAAAAAAAAAAAAAAAAAAAAAAAAAAAAAAAAAAAAAAAAAAAAAAAAAAAAAAAAAAAAAAAAAAAAAAAAAAAAAAAAAAAFAAAADwAAAAAAAAAAAAAADtgj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IAAAAMAAAAtQKMAAQAAAANAAAAPgFtAG0xAAA7AwAALQIAAPkBAAAAAAAAMAAAABQAAAAAAAAA/Er//wS1AAD8Sv//BLUAAA=="/>
            </a:ext>
          </a:extLst>
        </xdr:cNvSpPr>
      </xdr:nvSpPr>
      <xdr:spPr>
        <a:xfrm>
          <a:off x="8034655" y="525145"/>
          <a:ext cx="353695" cy="320675"/>
        </a:xfrm>
        <a:prstGeom prst="ellipse">
          <a:avLst/>
        </a:prstGeom>
        <a:solidFill>
          <a:srgbClr val="002060"/>
        </a:solidFill>
        <a:ln w="25400" cap="flat">
          <a:noFill/>
          <a:prstDash val="solid"/>
          <a:headEnd type="none" w="med" len="med"/>
          <a:tailEnd type="none" w="med" len="med"/>
        </a:ln>
        <a:effectLst/>
      </xdr:spPr>
      <xdr:txBody>
        <a:bodyPr spcFirstLastPara="1" vertOverflow="clip" horzOverflow="clip" wrap="square" lIns="91440" tIns="45720" rIns="91440" bIns="45720" anchor="ctr" upright="1"/>
        <a:lstStyle/>
        <a:p>
          <a:pPr algn="ctr" defTabSz="360045" rtl="0">
            <a:defRPr sz="1000"/>
          </a:pPr>
          <a:r>
            <a:rPr lang="en-us" sz="1200" b="1" i="0" u="none" strike="noStrike" kern="100" baseline="0">
              <a:solidFill>
                <a:srgbClr val="FFFFFF"/>
              </a:solidFill>
              <a:latin typeface="Calibri" pitchFamily="2" charset="0"/>
              <a:ea typeface="Basic Sans" charset="0"/>
              <a:cs typeface="Basic Sans" charset="0"/>
            </a:rPr>
            <a:t>4</a:t>
          </a:r>
        </a:p>
      </xdr:txBody>
    </xdr:sp>
    <xdr:clientData/>
  </xdr:twoCellAnchor>
  <xdr:twoCellAnchor>
    <xdr:from>
      <xdr:col>22</xdr:col>
      <xdr:colOff>121920</xdr:colOff>
      <xdr:row>7</xdr:row>
      <xdr:rowOff>32385</xdr:rowOff>
    </xdr:from>
    <xdr:to>
      <xdr:col>23</xdr:col>
      <xdr:colOff>98425</xdr:colOff>
      <xdr:row>8</xdr:row>
      <xdr:rowOff>140335</xdr:rowOff>
    </xdr:to>
    <xdr:sp macro="" fLocksText="0">
      <xdr:nvSpPr>
        <xdr:cNvPr id="50" name="Oval 71"/>
        <xdr:cNvSpPr>
          <a:extLst>
            <a:ext uri="smNativeData">
              <pm:smNativeData xmlns:pm="smNativeData" val="SMDATA_14_nJsLaBMAAAAlAAAAZgAAAI0AAAAAkAAAAEgAAACQAAAASAAAAAAAAAABAAAAAAAAAAEAAABQAAAAAAAAAAAA8D8AAAAAAADwPwAAAAAAAOA/AAAAAAAA4D8AAAAAAADgPwAAAAAAAOA/AAAAAAAA4D8AAAAAAADgPwAAAAAAAOA/AAAAAAAA4D8CAAAAjAAAAAEAAAAAAAAAACBgAAAAAAAAAAAAAAAAAAAAAAAAAAAAAAAAAAAAAAAAAAAAZAAAAAEAAABAAAAAAAAAAAAAAAAAAAAAAAAAAAAAAAAAAAAAAAAAAAAAAAAAAAAAAAAAAAAAAAAAAAAAAAAAAAAAAAAAAAAAAAAAAAAAAAAAAAAAAAAAAAAAAAAAAAAAFAAAADwAAAAAAAAAAAAAADtgj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cAAAAWAAAAqQCMAQgAAAAXAAAA3AL6AJ5FAACmCAAAzAEAAN8BAAAAAAAAMAAAABQAAAAAAAAA/Er//wS1AAD8Sv//BLUAAA=="/>
            </a:ext>
          </a:extLst>
        </xdr:cNvSpPr>
      </xdr:nvSpPr>
      <xdr:spPr>
        <a:xfrm>
          <a:off x="11316970" y="1405890"/>
          <a:ext cx="292100" cy="304165"/>
        </a:xfrm>
        <a:prstGeom prst="ellipse">
          <a:avLst/>
        </a:prstGeom>
        <a:solidFill>
          <a:srgbClr val="002060"/>
        </a:solidFill>
        <a:ln w="25400" cap="flat">
          <a:noFill/>
          <a:prstDash val="solid"/>
          <a:headEnd type="none" w="med" len="med"/>
          <a:tailEnd type="none" w="med" len="med"/>
        </a:ln>
        <a:effectLst/>
      </xdr:spPr>
      <xdr:txBody>
        <a:bodyPr spcFirstLastPara="1" vertOverflow="clip" horzOverflow="clip" wrap="square" lIns="91440" tIns="45720" rIns="91440" bIns="45720" anchor="ctr" upright="1"/>
        <a:lstStyle/>
        <a:p>
          <a:pPr algn="ctr" defTabSz="360045" rtl="0">
            <a:defRPr sz="1000"/>
          </a:pPr>
          <a:r>
            <a:rPr lang="en-us" sz="1200" b="1" i="0" u="none" strike="noStrike" kern="100" baseline="0">
              <a:solidFill>
                <a:srgbClr val="FFFFFF"/>
              </a:solidFill>
              <a:latin typeface="Calibri" pitchFamily="2" charset="0"/>
              <a:ea typeface="Basic Sans" charset="0"/>
              <a:cs typeface="Basic Sans" charset="0"/>
            </a:rPr>
            <a:t>5</a:t>
          </a:r>
        </a:p>
      </xdr:txBody>
    </xdr:sp>
    <xdr:clientData/>
  </xdr:twoCellAnchor>
  <xdr:twoCellAnchor>
    <xdr:from>
      <xdr:col>0</xdr:col>
      <xdr:colOff>83820</xdr:colOff>
      <xdr:row>16</xdr:row>
      <xdr:rowOff>134620</xdr:rowOff>
    </xdr:from>
    <xdr:to>
      <xdr:col>0</xdr:col>
      <xdr:colOff>374015</xdr:colOff>
      <xdr:row>18</xdr:row>
      <xdr:rowOff>29210</xdr:rowOff>
    </xdr:to>
    <xdr:sp macro="" fLocksText="0">
      <xdr:nvSpPr>
        <xdr:cNvPr id="49" name="Oval 73"/>
        <xdr:cNvSpPr>
          <a:extLst>
            <a:ext uri="smNativeData">
              <pm:smNativeData xmlns:pm="smNativeData" val="SMDATA_14_nJsLaBMAAAAlAAAAZgAAAI0AAAAAkAAAAEgAAACQAAAASAAAAAAAAAABAAAAAAAAAAEAAABQAAAAAAAAAAAA8D8AAAAAAADwPwAAAAAAAOA/AAAAAAAA4D8AAAAAAADgPwAAAAAAAOA/AAAAAAAA4D8AAAAAAADgPwAAAAAAAOA/AAAAAAAA4D8CAAAAjAAAAAEAAAAAAAAAACBgAAAAAAAAAAAAAAAAAAAAAAAAAAAAAAAAAAAAAAAAAAAAZAAAAAEAAABAAAAAAAAAAAAAAAAAAAAAAAAAAAAAAAAAAAAAAAAAAAAAAAAAAAAAAAAAAAAAAAAAAAAAAAAAAAAAAAAAAAAAAAAAAAAAAAAAAAAAAAAAAAAAAAAAAAAAFAAAADwAAAAAAAAAAAAAADtgj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AAAAAAAAAAsQIoABIAAAAAAAAAlgCzAIQAAAAJGgAAyQEAANABAAAAAAAAMAAAABQAAAAAAAAA/Er//wS1AAD8Sv//BLUAAA=="/>
            </a:ext>
          </a:extLst>
        </xdr:cNvSpPr>
      </xdr:nvSpPr>
      <xdr:spPr>
        <a:xfrm>
          <a:off x="83820" y="4232275"/>
          <a:ext cx="290195" cy="294640"/>
        </a:xfrm>
        <a:prstGeom prst="ellipse">
          <a:avLst/>
        </a:prstGeom>
        <a:solidFill>
          <a:srgbClr val="002060"/>
        </a:solidFill>
        <a:ln w="25400" cap="flat">
          <a:noFill/>
          <a:prstDash val="solid"/>
          <a:headEnd type="none" w="med" len="med"/>
          <a:tailEnd type="none" w="med" len="med"/>
        </a:ln>
        <a:effectLst/>
      </xdr:spPr>
      <xdr:txBody>
        <a:bodyPr spcFirstLastPara="1" vertOverflow="clip" horzOverflow="clip" wrap="square" lIns="91440" tIns="45720" rIns="91440" bIns="45720" anchor="ctr" upright="1"/>
        <a:lstStyle/>
        <a:p>
          <a:pPr algn="ctr" defTabSz="360045" rtl="0">
            <a:defRPr sz="1000"/>
          </a:pPr>
          <a:r>
            <a:rPr lang="en-us" sz="1200" b="1" i="0" u="none" strike="noStrike" kern="100" baseline="0">
              <a:solidFill>
                <a:srgbClr val="FFFFFF"/>
              </a:solidFill>
              <a:latin typeface="Calibri" pitchFamily="2" charset="0"/>
              <a:ea typeface="Basic Sans" charset="0"/>
              <a:cs typeface="Basic Sans" charset="0"/>
            </a:rPr>
            <a:t>6</a:t>
          </a:r>
        </a:p>
      </xdr:txBody>
    </xdr:sp>
    <xdr:clientData/>
  </xdr:twoCellAnchor>
  <xdr:twoCellAnchor>
    <xdr:from>
      <xdr:col>1</xdr:col>
      <xdr:colOff>2187575</xdr:colOff>
      <xdr:row>29</xdr:row>
      <xdr:rowOff>183515</xdr:rowOff>
    </xdr:from>
    <xdr:to>
      <xdr:col>2</xdr:col>
      <xdr:colOff>565785</xdr:colOff>
      <xdr:row>31</xdr:row>
      <xdr:rowOff>52705</xdr:rowOff>
    </xdr:to>
    <xdr:sp macro="" fLocksText="0">
      <xdr:nvSpPr>
        <xdr:cNvPr id="48" name="Oval 74"/>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0AAAABAAAAnQPqAx8AAAACAAAADgHtA6EaAABaKgAAxwMAAK0BAAAAAAAAMAAAABQAAAAAAAAAAAD//wAAAQAAAP//AAABAA=="/>
            </a:ext>
          </a:extLst>
        </xdr:cNvSpPr>
      </xdr:nvSpPr>
      <xdr:spPr>
        <a:xfrm>
          <a:off x="4328795" y="6884670"/>
          <a:ext cx="614045" cy="272415"/>
        </a:xfrm>
        <a:prstGeom prst="ellipse">
          <a:avLst/>
        </a:prstGeom>
        <a:noFill/>
        <a:ln w="25400" cap="flat">
          <a:solidFill>
            <a:srgbClr val="0070C0"/>
          </a:solidFill>
          <a:prstDash val="solid"/>
          <a:headEnd type="none" w="med" len="med"/>
          <a:tailEnd type="none" w="med" len="med"/>
        </a:ln>
        <a:effectLst/>
      </xdr:spPr>
    </xdr:sp>
    <xdr:clientData/>
  </xdr:twoCellAnchor>
  <xdr:twoCellAnchor>
    <xdr:from>
      <xdr:col>1</xdr:col>
      <xdr:colOff>2082800</xdr:colOff>
      <xdr:row>12</xdr:row>
      <xdr:rowOff>1465580</xdr:rowOff>
    </xdr:from>
    <xdr:to>
      <xdr:col>3</xdr:col>
      <xdr:colOff>450215</xdr:colOff>
      <xdr:row>14</xdr:row>
      <xdr:rowOff>46355</xdr:rowOff>
    </xdr:to>
    <xdr:sp macro="" fLocksText="0">
      <xdr:nvSpPr>
        <xdr:cNvPr id="47" name="Rectangle 75"/>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EAAAAAAAAA/wAAAAAAAABH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wAAAABAAAAMwW6Aw4AAAADAAAA7QCQA/wZAAB/FQAAQgcAAIkBAAAAAAAAMAAAABQAAAAAAAAAAAD//wAAAQAAAP//AAABAA=="/>
            </a:ext>
          </a:extLst>
        </xdr:cNvSpPr>
      </xdr:nvSpPr>
      <xdr:spPr>
        <a:xfrm>
          <a:off x="4224020" y="3494405"/>
          <a:ext cx="1179830" cy="249555"/>
        </a:xfrm>
        <a:prstGeom prst="rect">
          <a:avLst/>
        </a:prstGeom>
        <a:solidFill>
          <a:srgbClr val="FF0000">
            <a:alpha val="29000"/>
          </a:srgbClr>
        </a:solidFill>
        <a:ln w="25400" cap="flat">
          <a:solidFill>
            <a:srgbClr val="FF0000"/>
          </a:solidFill>
          <a:prstDash val="solid"/>
          <a:headEnd type="none" w="med" len="med"/>
          <a:tailEnd type="none" w="med" len="med"/>
        </a:ln>
        <a:effectLst/>
      </xdr:spPr>
    </xdr:sp>
    <xdr:clientData/>
  </xdr:twoCellAnchor>
  <xdr:twoCellAnchor editAs="oneCell">
    <xdr:from>
      <xdr:col>0</xdr:col>
      <xdr:colOff>22860</xdr:colOff>
      <xdr:row>12</xdr:row>
      <xdr:rowOff>266700</xdr:rowOff>
    </xdr:from>
    <xdr:to>
      <xdr:col>1</xdr:col>
      <xdr:colOff>45720</xdr:colOff>
      <xdr:row>12</xdr:row>
      <xdr:rowOff>703580</xdr:rowOff>
    </xdr:to>
    <xdr:sp macro="" fLocksText="0">
      <xdr:nvSpPr>
        <xdr:cNvPr id="46" name="TextBox 76"/>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wAAAAAAAAA8gALAAwAAAABAAAAfwIVACQAAAAzEAAAUA0AALACAAABAAAAMAAAABQAAAAAAAAAAAD//wAAAQAAAP//AAABAA=="/>
            </a:ext>
          </a:extLst>
        </xdr:cNvSpPr>
      </xdr:nvSpPr>
      <xdr:spPr>
        <a:xfrm>
          <a:off x="22860" y="2633345"/>
          <a:ext cx="2164080" cy="436880"/>
        </a:xfrm>
        <a:prstGeom prst="rect">
          <a:avLst/>
        </a:prstGeom>
        <a:solidFill>
          <a:srgbClr val="FFFFFF"/>
        </a:solidFill>
        <a:ln w="25400" cap="flat">
          <a:solidFill>
            <a:srgbClr val="FF000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C00000"/>
              </a:solidFill>
              <a:latin typeface="Calibri" pitchFamily="2" charset="0"/>
              <a:ea typeface="Basic Sans" charset="0"/>
              <a:cs typeface="Basic Sans" charset="0"/>
            </a:rPr>
            <a:t>DO NOT ENTER NUMBERS NEXT</a:t>
          </a:r>
        </a:p>
        <a:p>
          <a:pPr algn="ctr" defTabSz="360045" rtl="0">
            <a:defRPr sz="1000"/>
          </a:pPr>
          <a:r>
            <a:rPr lang="en-us" sz="1100" b="0" i="0" u="none" strike="noStrike" kern="100" baseline="0">
              <a:solidFill>
                <a:srgbClr val="C00000"/>
              </a:solidFill>
              <a:latin typeface="Calibri" pitchFamily="2" charset="0"/>
              <a:ea typeface="Basic Sans" charset="0"/>
              <a:cs typeface="Basic Sans" charset="0"/>
            </a:rPr>
            <a:t>TO THE TITLE OF THE WP</a:t>
          </a:r>
        </a:p>
      </xdr:txBody>
    </xdr:sp>
    <xdr:clientData/>
  </xdr:twoCellAnchor>
  <xdr:twoCellAnchor>
    <xdr:from>
      <xdr:col>1</xdr:col>
      <xdr:colOff>45720</xdr:colOff>
      <xdr:row>12</xdr:row>
      <xdr:rowOff>485775</xdr:rowOff>
    </xdr:from>
    <xdr:to>
      <xdr:col>1</xdr:col>
      <xdr:colOff>2082800</xdr:colOff>
      <xdr:row>13</xdr:row>
      <xdr:rowOff>125095</xdr:rowOff>
    </xdr:to>
    <xdr:cxnSp macro="">
      <xdr:nvCxnSpPr>
        <xdr:cNvPr id="45" name="Straight Connector 77"/>
        <xdr:cNvCxnSpPr>
          <a:stCxn id="47" idx="1"/>
          <a:endCxn id="46" idx="3"/>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P8AA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wAAAABAAAAuQEVAA0AAAABAAAAdgK6A3QNAACMEQAAiAwAALgEAAAAAAAAMAAAABQAAAAAAAAAAAD//wAAAQAAAP//AAABAA=="/>
            </a:ext>
          </a:extLst>
        </xdr:cNvCxnSpPr>
      </xdr:nvCxnSpPr>
      <xdr:spPr>
        <a:xfrm rot="5400000" flipH="1">
          <a:off x="2186940" y="2852420"/>
          <a:ext cx="2037080" cy="767080"/>
        </a:xfrm>
        <a:prstGeom prst="straightConnector1">
          <a:avLst/>
        </a:prstGeom>
        <a:noFill/>
        <a:ln w="19050" cap="flat">
          <a:solidFill>
            <a:srgbClr val="FF0000"/>
          </a:solidFill>
          <a:prstDash val="solid"/>
          <a:headEnd type="none" w="med" len="med"/>
          <a:tailEnd type="none" w="med" len="med"/>
        </a:ln>
        <a:effectLst/>
      </xdr:spPr>
    </xdr:cxnSp>
    <xdr:clientData/>
  </xdr:twoCellAnchor>
  <xdr:twoCellAnchor editAs="oneCell">
    <xdr:from>
      <xdr:col>0</xdr:col>
      <xdr:colOff>16510</xdr:colOff>
      <xdr:row>28</xdr:row>
      <xdr:rowOff>2540</xdr:rowOff>
    </xdr:from>
    <xdr:to>
      <xdr:col>0</xdr:col>
      <xdr:colOff>1898650</xdr:colOff>
      <xdr:row>31</xdr:row>
      <xdr:rowOff>177165</xdr:rowOff>
    </xdr:to>
    <xdr:sp macro="" fLocksText="0">
      <xdr:nvSpPr>
        <xdr:cNvPr id="44" name="TextBox 80"/>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wAAAAAAAAADQAIAB8AAAAAAAAAiwOMAxoAAAD9JwAAkwsAAM4EAAABAAAAMAAAABQAAAAAAAAAAAD//wAAAQAAAP//AAABAA=="/>
            </a:ext>
          </a:extLst>
        </xdr:cNvSpPr>
      </xdr:nvSpPr>
      <xdr:spPr>
        <a:xfrm>
          <a:off x="16510" y="6500495"/>
          <a:ext cx="1881505" cy="781050"/>
        </a:xfrm>
        <a:prstGeom prst="rect">
          <a:avLst/>
        </a:prstGeom>
        <a:solidFill>
          <a:srgbClr val="FFFFFF"/>
        </a:solidFill>
        <a:ln w="25400" cap="flat">
          <a:solidFill>
            <a:srgbClr val="0070C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0070C0"/>
              </a:solidFill>
              <a:latin typeface="Calibri" pitchFamily="2" charset="0"/>
              <a:ea typeface="Basic Sans" charset="0"/>
              <a:cs typeface="Basic Sans" charset="0"/>
            </a:rPr>
            <a:t>ENTER THE MONTH IN WHICH THE TASK STARTS; e.g; "4" - IF IT STARTS IN THE 4TH MONTH OF THE PROJECT</a:t>
          </a:r>
        </a:p>
      </xdr:txBody>
    </xdr:sp>
    <xdr:clientData/>
  </xdr:twoCellAnchor>
  <xdr:twoCellAnchor>
    <xdr:from>
      <xdr:col>0</xdr:col>
      <xdr:colOff>426720</xdr:colOff>
      <xdr:row>26</xdr:row>
      <xdr:rowOff>47625</xdr:rowOff>
    </xdr:from>
    <xdr:to>
      <xdr:col>0</xdr:col>
      <xdr:colOff>716915</xdr:colOff>
      <xdr:row>27</xdr:row>
      <xdr:rowOff>153670</xdr:rowOff>
    </xdr:to>
    <xdr:sp macro="" fLocksText="0">
      <xdr:nvSpPr>
        <xdr:cNvPr id="43" name="Oval 81"/>
        <xdr:cNvSpPr>
          <a:extLst>
            <a:ext uri="smNativeData">
              <pm:smNativeData xmlns:pm="smNativeData" val="SMDATA_14_nJsLaBMAAAAlAAAAZgAAAI0AAAAAkAAAAEgAAACQAAAASAAAAAAAAAABAAAAAAAAAAEAAABQAAAAAAAAAAAA8D8AAAAAAADwPwAAAAAAAOA/AAAAAAAA4D8AAAAAAADgPwAAAAAAAOA/AAAAAAAA4D8AAAAAAADgPwAAAAAAAOA/AAAAAAAA4D8CAAAAjAAAAAEAAAAAAAAAACBgAAAAAAAAAAAAAAAAAAAAAAAAAAAAAAAAAAAAAAAAAAAAZAAAAAEAAABAAAAAAAAAAAAAAAAAAAAAAAAAAAAAAAAAAAAAAAAAAAAAAAAAAAAAAAAAAAAAAAAAAAAAAAAAAAAAAAAAAAAAAAAAAAAAAAAAAAAAAAAAAAAAAAAAAAAAFAAAADwAAAAAAAAAAAAAADtgj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oAAAAAAAAA9ADMABsAAAAAAAAAEwNXAaACAADOJQAAyQEAAOIBAAAAAAAAMAAAABQAAAAAAAAA/Er//wS1AAD8Sv//BLUAAA=="/>
            </a:ext>
          </a:extLst>
        </xdr:cNvSpPr>
      </xdr:nvSpPr>
      <xdr:spPr>
        <a:xfrm>
          <a:off x="426720" y="6145530"/>
          <a:ext cx="290195" cy="306070"/>
        </a:xfrm>
        <a:prstGeom prst="ellipse">
          <a:avLst/>
        </a:prstGeom>
        <a:solidFill>
          <a:srgbClr val="002060"/>
        </a:solidFill>
        <a:ln w="25400" cap="flat">
          <a:noFill/>
          <a:prstDash val="solid"/>
          <a:headEnd type="none" w="med" len="med"/>
          <a:tailEnd type="none" w="med" len="med"/>
        </a:ln>
        <a:effectLst/>
      </xdr:spPr>
      <xdr:txBody>
        <a:bodyPr spcFirstLastPara="1" vertOverflow="clip" horzOverflow="clip" wrap="square" lIns="91440" tIns="45720" rIns="91440" bIns="45720" anchor="ctr" upright="1"/>
        <a:lstStyle/>
        <a:p>
          <a:pPr algn="ctr" defTabSz="360045" rtl="0">
            <a:defRPr sz="1000"/>
          </a:pPr>
          <a:r>
            <a:rPr lang="en-us" sz="1200" b="1" i="0" u="none" strike="noStrike" kern="100" baseline="0">
              <a:solidFill>
                <a:srgbClr val="FFFFFF"/>
              </a:solidFill>
              <a:latin typeface="Calibri" pitchFamily="2" charset="0"/>
              <a:ea typeface="Basic Sans" charset="0"/>
              <a:cs typeface="Basic Sans" charset="0"/>
            </a:rPr>
            <a:t>7</a:t>
          </a:r>
        </a:p>
      </xdr:txBody>
    </xdr:sp>
    <xdr:clientData/>
  </xdr:twoCellAnchor>
  <xdr:twoCellAnchor>
    <xdr:from>
      <xdr:col>0</xdr:col>
      <xdr:colOff>1898650</xdr:colOff>
      <xdr:row>29</xdr:row>
      <xdr:rowOff>189865</xdr:rowOff>
    </xdr:from>
    <xdr:to>
      <xdr:col>1</xdr:col>
      <xdr:colOff>2187575</xdr:colOff>
      <xdr:row>30</xdr:row>
      <xdr:rowOff>116840</xdr:rowOff>
    </xdr:to>
    <xdr:cxnSp macro="">
      <xdr:nvCxnSpPr>
        <xdr:cNvPr id="42" name="Straight Connector 82"/>
        <xdr:cNvCxnSpPr>
          <a:stCxn id="44" idx="3"/>
          <a:endCxn id="48" idx="2"/>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Bww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IsB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0AAAAAAAAAvQOMAx4AAAABAAAAVgLqA64LAABkKgAA8w4AAM0AAAAAAAAAMAAAABQAAAAAAAAAAAD//wAAAQAAAP//AAABAA=="/>
            </a:ext>
          </a:extLst>
        </xdr:cNvCxnSpPr>
      </xdr:nvCxnSpPr>
      <xdr:spPr>
        <a:xfrm rot="16200000" flipH="1">
          <a:off x="1898650" y="6891020"/>
          <a:ext cx="2430145" cy="130175"/>
        </a:xfrm>
        <a:prstGeom prst="straightConnector1">
          <a:avLst/>
        </a:prstGeom>
        <a:noFill/>
        <a:ln w="19050" cap="flat">
          <a:solidFill>
            <a:srgbClr val="0070C0"/>
          </a:solidFill>
          <a:prstDash val="solid"/>
          <a:headEnd type="none" w="med" len="med"/>
          <a:tailEnd type="none" w="med" len="med"/>
        </a:ln>
        <a:effectLst/>
      </xdr:spPr>
    </xdr:cxnSp>
    <xdr:clientData/>
  </xdr:twoCellAnchor>
  <xdr:twoCellAnchor>
    <xdr:from>
      <xdr:col>2</xdr:col>
      <xdr:colOff>526415</xdr:colOff>
      <xdr:row>29</xdr:row>
      <xdr:rowOff>174625</xdr:rowOff>
    </xdr:from>
    <xdr:to>
      <xdr:col>4</xdr:col>
      <xdr:colOff>36830</xdr:colOff>
      <xdr:row>31</xdr:row>
      <xdr:rowOff>43815</xdr:rowOff>
    </xdr:to>
    <xdr:sp macro="" fLocksText="0">
      <xdr:nvSpPr>
        <xdr:cNvPr id="41" name="Oval 85"/>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0AAAACAAAAcAOnAx8AAAAEAAAA4AB4ACoeAABMKgAApQMAAK0BAAAAAAAAMAAAABQAAAAAAAAAAAD//wAAAQAAAP//AAABAA=="/>
            </a:ext>
          </a:extLst>
        </xdr:cNvSpPr>
      </xdr:nvSpPr>
      <xdr:spPr>
        <a:xfrm>
          <a:off x="4903470" y="6875780"/>
          <a:ext cx="592455" cy="272415"/>
        </a:xfrm>
        <a:prstGeom prst="ellipse">
          <a:avLst/>
        </a:prstGeom>
        <a:noFill/>
        <a:ln w="25400" cap="flat">
          <a:solidFill>
            <a:srgbClr val="0070C0"/>
          </a:solidFill>
          <a:prstDash val="solid"/>
          <a:headEnd type="none" w="med" len="med"/>
          <a:tailEnd type="none" w="med" len="med"/>
        </a:ln>
        <a:effectLst/>
      </xdr:spPr>
    </xdr:sp>
    <xdr:clientData/>
  </xdr:twoCellAnchor>
  <xdr:twoCellAnchor>
    <xdr:from>
      <xdr:col>0</xdr:col>
      <xdr:colOff>1919605</xdr:colOff>
      <xdr:row>31</xdr:row>
      <xdr:rowOff>43815</xdr:rowOff>
    </xdr:from>
    <xdr:to>
      <xdr:col>3</xdr:col>
      <xdr:colOff>246380</xdr:colOff>
      <xdr:row>37</xdr:row>
      <xdr:rowOff>151765</xdr:rowOff>
    </xdr:to>
    <xdr:cxnSp macro="">
      <xdr:nvCxnSpPr>
        <xdr:cNvPr id="40" name="Straight Connector 86"/>
        <xdr:cNvCxnSpPr>
          <a:stCxn id="39" idx="3"/>
          <a:endCxn id="41" idx="4"/>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Bww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B8AAAAAAAAA4ACWAyUAAAADAAAACQPzAc8LAAD5KwAALhQAAAwIAAAAAAAAMAAAABQAAAAAAAAAAAD//wAAAQAAAP//AAABAA=="/>
            </a:ext>
          </a:extLst>
        </xdr:cNvCxnSpPr>
      </xdr:nvCxnSpPr>
      <xdr:spPr>
        <a:xfrm rot="16200000">
          <a:off x="1919605" y="7148195"/>
          <a:ext cx="3280410" cy="1308100"/>
        </a:xfrm>
        <a:prstGeom prst="straightConnector1">
          <a:avLst/>
        </a:prstGeom>
        <a:noFill/>
        <a:ln w="19050" cap="flat">
          <a:solidFill>
            <a:srgbClr val="0070C0"/>
          </a:solidFill>
          <a:prstDash val="solid"/>
          <a:headEnd type="none" w="med" len="med"/>
          <a:tailEnd type="none" w="med" len="med"/>
        </a:ln>
        <a:effectLst/>
      </xdr:spPr>
    </xdr:cxnSp>
    <xdr:clientData/>
  </xdr:twoCellAnchor>
  <xdr:twoCellAnchor editAs="oneCell">
    <xdr:from>
      <xdr:col>0</xdr:col>
      <xdr:colOff>37465</xdr:colOff>
      <xdr:row>34</xdr:row>
      <xdr:rowOff>16510</xdr:rowOff>
    </xdr:from>
    <xdr:to>
      <xdr:col>0</xdr:col>
      <xdr:colOff>1919605</xdr:colOff>
      <xdr:row>41</xdr:row>
      <xdr:rowOff>86360</xdr:rowOff>
    </xdr:to>
    <xdr:sp macro="" fLocksText="0">
      <xdr:nvSpPr>
        <xdr:cNvPr id="39" name="TextBox 89"/>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Q8pzU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IAAAAAAAAAVQASACkAAAAAAAAAugGWAzsAAAB/LwAAkwsAAAsJAAABAAAAMAAAABQAAAAAAAAAAAD//wAAAQAAAP//AAABAA=="/>
            </a:ext>
          </a:extLst>
        </xdr:cNvSpPr>
      </xdr:nvSpPr>
      <xdr:spPr>
        <a:xfrm>
          <a:off x="37465" y="7720965"/>
          <a:ext cx="1881505" cy="1470025"/>
        </a:xfrm>
        <a:prstGeom prst="rect">
          <a:avLst/>
        </a:prstGeom>
        <a:solidFill>
          <a:srgbClr val="FFFFFF"/>
        </a:solidFill>
        <a:ln w="25400" cap="flat">
          <a:solidFill>
            <a:srgbClr val="0070C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0070C0"/>
              </a:solidFill>
              <a:latin typeface="Calibri" pitchFamily="2" charset="0"/>
              <a:ea typeface="Basic Sans" charset="0"/>
              <a:cs typeface="Basic Sans" charset="0"/>
            </a:rPr>
            <a:t>WRITE THE MONTH IN WHICH THE TASK ENDED; e.g; "8" - IF IT ENDED IN MONTH 8 OF THE PROJECT. BY DOING SO, THE CORRESPONDING CELLS UNDER THE 'MONTH' COLUMNS ON THE RIGHT WILL TURN ORANGE</a:t>
          </a:r>
        </a:p>
      </xdr:txBody>
    </xdr:sp>
    <xdr:clientData/>
  </xdr:twoCellAnchor>
  <xdr:twoCellAnchor>
    <xdr:from>
      <xdr:col>0</xdr:col>
      <xdr:colOff>454025</xdr:colOff>
      <xdr:row>32</xdr:row>
      <xdr:rowOff>72390</xdr:rowOff>
    </xdr:from>
    <xdr:to>
      <xdr:col>0</xdr:col>
      <xdr:colOff>744220</xdr:colOff>
      <xdr:row>33</xdr:row>
      <xdr:rowOff>179070</xdr:rowOff>
    </xdr:to>
    <xdr:sp macro="" fLocksText="0">
      <xdr:nvSpPr>
        <xdr:cNvPr id="38" name="Oval 90"/>
        <xdr:cNvSpPr>
          <a:extLst>
            <a:ext uri="smNativeData">
              <pm:smNativeData xmlns:pm="smNativeData" val="SMDATA_14_nJsLaBMAAAAlAAAAZgAAAI0AAAAAkAAAAEgAAACQAAAASAAAAAAAAAABAAAAAAAAAAEAAABQAAAAAAAAAAAA8D8AAAAAAADwPwAAAAAAAOA/AAAAAAAA4D8AAAAAAADgPwAAAAAAAOA/AAAAAAAA4D8AAAAAAADgPwAAAAAAAOA/AAAAAAAA4D8CAAAAjAAAAAEAAAAAAAAAACBgAAAAAAAAAAAAAAAAAAAAAAAAAAAAAAAAAAAAAAAAAAAAZAAAAAEAAABAAAAAAAAAAAAAAAAAAAAAAAAAAAAAAAAAAAAAAAAAAAAAAAAAAAAAAAAAAAAAAAAAAAAAAAAAAAAAAAAAAAAAAAAAAAAAAAAAAAAAAAAAAAAAAAAAAAAAFAAAADwAAAAAAAAAAAAAADtgj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AAAAAAAAAAcwHZACEAAAAAAAAAlQNkAcsCAABhLQAAyQEAAOMBAAAAAAAAMAAAABQAAAAAAAAA/Er//wS1AAD8Sv//BLUAAA=="/>
            </a:ext>
          </a:extLst>
        </xdr:cNvSpPr>
      </xdr:nvSpPr>
      <xdr:spPr>
        <a:xfrm>
          <a:off x="454025" y="7376795"/>
          <a:ext cx="290195" cy="306705"/>
        </a:xfrm>
        <a:prstGeom prst="ellipse">
          <a:avLst/>
        </a:prstGeom>
        <a:solidFill>
          <a:srgbClr val="002060"/>
        </a:solidFill>
        <a:ln w="25400" cap="flat">
          <a:noFill/>
          <a:prstDash val="solid"/>
          <a:headEnd type="none" w="med" len="med"/>
          <a:tailEnd type="none" w="med" len="med"/>
        </a:ln>
        <a:effectLst/>
      </xdr:spPr>
      <xdr:txBody>
        <a:bodyPr spcFirstLastPara="1" vertOverflow="clip" horzOverflow="clip" wrap="square" lIns="91440" tIns="45720" rIns="91440" bIns="45720" anchor="ctr" upright="1"/>
        <a:lstStyle/>
        <a:p>
          <a:pPr algn="ctr" defTabSz="360045" rtl="0">
            <a:defRPr sz="1000"/>
          </a:pPr>
          <a:r>
            <a:rPr lang="en-us" sz="1200" b="1" i="0" u="none" strike="noStrike" kern="100" baseline="0">
              <a:solidFill>
                <a:srgbClr val="FFFFFF"/>
              </a:solidFill>
              <a:latin typeface="Calibri" pitchFamily="2" charset="0"/>
              <a:ea typeface="Basic Sans" charset="0"/>
              <a:cs typeface="Basic Sans" charset="0"/>
            </a:rPr>
            <a:t>8</a:t>
          </a:r>
        </a:p>
      </xdr:txBody>
    </xdr:sp>
    <xdr:clientData/>
  </xdr:twoCellAnchor>
  <xdr:twoCellAnchor>
    <xdr:from>
      <xdr:col>1</xdr:col>
      <xdr:colOff>2132965</xdr:colOff>
      <xdr:row>42</xdr:row>
      <xdr:rowOff>180340</xdr:rowOff>
    </xdr:from>
    <xdr:to>
      <xdr:col>4</xdr:col>
      <xdr:colOff>107315</xdr:colOff>
      <xdr:row>44</xdr:row>
      <xdr:rowOff>43180</xdr:rowOff>
    </xdr:to>
    <xdr:sp macro="" fLocksText="0">
      <xdr:nvSpPr>
        <xdr:cNvPr id="37" name="Oval 93"/>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oAAAABAAAAmwPRAywAAAAEAAAA2gBcAUsaAABZOgAA8wcAAJ4BAAAAAAAAMAAAABQAAAAAAAAAAAD//wAAAQAAAP//AAABAA=="/>
            </a:ext>
          </a:extLst>
        </xdr:cNvSpPr>
      </xdr:nvSpPr>
      <xdr:spPr>
        <a:xfrm>
          <a:off x="4274185" y="9484995"/>
          <a:ext cx="1292225" cy="262890"/>
        </a:xfrm>
        <a:prstGeom prst="ellipse">
          <a:avLst/>
        </a:prstGeom>
        <a:noFill/>
        <a:ln w="25400" cap="flat">
          <a:solidFill>
            <a:srgbClr val="0070C0"/>
          </a:solidFill>
          <a:prstDash val="solid"/>
          <a:headEnd type="none" w="med" len="med"/>
          <a:tailEnd type="none" w="med" len="med"/>
        </a:ln>
        <a:effectLst/>
      </xdr:spPr>
    </xdr:sp>
    <xdr:clientData/>
  </xdr:twoCellAnchor>
  <xdr:twoCellAnchor editAs="oneCell">
    <xdr:from>
      <xdr:col>0</xdr:col>
      <xdr:colOff>19050</xdr:colOff>
      <xdr:row>42</xdr:row>
      <xdr:rowOff>170180</xdr:rowOff>
    </xdr:from>
    <xdr:to>
      <xdr:col>0</xdr:col>
      <xdr:colOff>1900555</xdr:colOff>
      <xdr:row>46</xdr:row>
      <xdr:rowOff>120650</xdr:rowOff>
    </xdr:to>
    <xdr:sp macro="" fLocksText="0">
      <xdr:nvSpPr>
        <xdr:cNvPr id="36" name="TextBox 94"/>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IEC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oAAAAAAAAAZwMJAC4AAAAAAAAAagKNAx4AAABJOgAAkwsAAN4FAAABAAAAMAAAABQAAAAAAAAAAAD//wAAAQAAAP//AAABAA=="/>
            </a:ext>
          </a:extLst>
        </xdr:cNvSpPr>
      </xdr:nvSpPr>
      <xdr:spPr>
        <a:xfrm>
          <a:off x="19050" y="9474835"/>
          <a:ext cx="1881505" cy="953770"/>
        </a:xfrm>
        <a:prstGeom prst="rect">
          <a:avLst/>
        </a:prstGeom>
        <a:solidFill>
          <a:srgbClr val="FFFFFF"/>
        </a:solidFill>
        <a:ln w="25400" cap="flat">
          <a:solidFill>
            <a:srgbClr val="0070C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0070C0"/>
              </a:solidFill>
              <a:latin typeface="Calibri" pitchFamily="2" charset="0"/>
              <a:ea typeface="Basic Sans" charset="0"/>
              <a:cs typeface="Basic Sans" charset="0"/>
            </a:rPr>
            <a:t>ENTER THE  MONTH IN WICH THE DELIVERABLE IS TO BE PRODUCED, USING THE SAME NUMBER OF START AND END MONTHS</a:t>
          </a:r>
        </a:p>
      </xdr:txBody>
    </xdr:sp>
    <xdr:clientData/>
  </xdr:twoCellAnchor>
  <xdr:twoCellAnchor>
    <xdr:from>
      <xdr:col>0</xdr:col>
      <xdr:colOff>1900555</xdr:colOff>
      <xdr:row>43</xdr:row>
      <xdr:rowOff>111760</xdr:rowOff>
    </xdr:from>
    <xdr:to>
      <xdr:col>1</xdr:col>
      <xdr:colOff>2132965</xdr:colOff>
      <xdr:row>45</xdr:row>
      <xdr:rowOff>43815</xdr:rowOff>
    </xdr:to>
    <xdr:cxnSp macro="">
      <xdr:nvCxnSpPr>
        <xdr:cNvPr id="35" name="Straight Connector 100"/>
        <xdr:cNvCxnSpPr>
          <a:stCxn id="36" idx="3"/>
          <a:endCxn id="37" idx="2"/>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BwwAAe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sAAAAAAAAAPAKNAy0AAAABAAAAcADRA7ELAAAoOwAAmg4AABACAAAAAAAAMAAAABQAAAAAAAAAAAD//wAAAQAAAP//AAABAA=="/>
            </a:ext>
          </a:extLst>
        </xdr:cNvCxnSpPr>
      </xdr:nvCxnSpPr>
      <xdr:spPr>
        <a:xfrm rot="16200000">
          <a:off x="1900555" y="9616440"/>
          <a:ext cx="2373630" cy="335280"/>
        </a:xfrm>
        <a:prstGeom prst="straightConnector1">
          <a:avLst/>
        </a:prstGeom>
        <a:noFill/>
        <a:ln w="19050" cap="flat">
          <a:solidFill>
            <a:srgbClr val="0070C0"/>
          </a:solidFill>
          <a:prstDash val="solid"/>
          <a:headEnd type="none" w="med" len="med"/>
          <a:tailEnd type="none" w="med" len="med"/>
        </a:ln>
        <a:effectLst/>
      </xdr:spPr>
    </xdr:cxnSp>
    <xdr:clientData/>
  </xdr:twoCellAnchor>
  <xdr:twoCellAnchor>
    <xdr:from>
      <xdr:col>0</xdr:col>
      <xdr:colOff>393065</xdr:colOff>
      <xdr:row>47</xdr:row>
      <xdr:rowOff>74295</xdr:rowOff>
    </xdr:from>
    <xdr:to>
      <xdr:col>0</xdr:col>
      <xdr:colOff>698500</xdr:colOff>
      <xdr:row>49</xdr:row>
      <xdr:rowOff>0</xdr:rowOff>
    </xdr:to>
    <xdr:sp macro="" fLocksText="0">
      <xdr:nvSpPr>
        <xdr:cNvPr id="34" name="Oval 103"/>
        <xdr:cNvSpPr>
          <a:extLst>
            <a:ext uri="smNativeData">
              <pm:smNativeData xmlns:pm="smNativeData" val="SMDATA_14_nJsLaBMAAAAlAAAAZgAAAI0AAAAAkAAAAEgAAACQAAAASAAAAAAAAAABAAAAAAAAAAEAAABQAAAAAAAAAAAA8D8AAAAAAADwPwAAAAAAAOA/AAAAAAAA4D8AAAAAAADgPwAAAAAAAOA/AAAAAAAA4D8AAAAAAADgPwAAAAAAAOA/AAAAAAAA4D8CAAAAjAAAAAEAAAAAAAAAACBgAAAAAAAAAAAAAAAAAAAAAAAAAAAAAAAAAAAAAAAAAAAAZAAAAAEAAABAAAAAAAAAAAAAAAAAAAAAAAAAAAAAAAAAAAAAAAAAAAAAAAAAAAAAAAAAAAAAAAAAAAAAAAAAAAAAAAAAAAAAAAAAAAAAAAAAAAAAAAAAAAAAAAAAAAAAFAAAADwAAAAAAAAAAAAAADtgj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NYC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8AAAAAAAAAfAG8ADEAAAAAAAAAAABOAWsCAAAZQQAA4QEAAAECAAAAAAAAMAAAABQAAAAAAAAA/Er//wS1AAD8Sv//BLUAAA=="/>
            </a:ext>
          </a:extLst>
        </xdr:cNvSpPr>
      </xdr:nvSpPr>
      <xdr:spPr>
        <a:xfrm>
          <a:off x="393065" y="10582275"/>
          <a:ext cx="305435" cy="325755"/>
        </a:xfrm>
        <a:prstGeom prst="ellipse">
          <a:avLst/>
        </a:prstGeom>
        <a:solidFill>
          <a:srgbClr val="002060"/>
        </a:solidFill>
        <a:ln w="25400" cap="flat">
          <a:noFill/>
          <a:prstDash val="solid"/>
          <a:headEnd type="none" w="med" len="med"/>
          <a:tailEnd type="none" w="med" len="med"/>
        </a:ln>
        <a:effectLst/>
      </xdr:spPr>
      <xdr:txBody>
        <a:bodyPr spcFirstLastPara="1" vertOverflow="clip" horzOverflow="clip" wrap="square" lIns="91440" tIns="45720" rIns="91440" bIns="45720" anchor="ctr" upright="1"/>
        <a:lstStyle/>
        <a:p>
          <a:pPr algn="ctr" defTabSz="360045" rtl="0">
            <a:defRPr sz="1000"/>
          </a:pPr>
          <a:r>
            <a:rPr lang="en-us" sz="1200" b="1" i="0" u="none" strike="noStrike" kern="100" baseline="0">
              <a:solidFill>
                <a:srgbClr val="FFFFFF"/>
              </a:solidFill>
              <a:latin typeface="Calibri" pitchFamily="2" charset="0"/>
              <a:ea typeface="Basic Sans" charset="0"/>
              <a:cs typeface="Basic Sans" charset="0"/>
            </a:rPr>
            <a:t>9</a:t>
          </a:r>
        </a:p>
      </xdr:txBody>
    </xdr:sp>
    <xdr:clientData/>
  </xdr:twoCellAnchor>
  <xdr:twoCellAnchor>
    <xdr:from>
      <xdr:col>3</xdr:col>
      <xdr:colOff>429895</xdr:colOff>
      <xdr:row>48</xdr:row>
      <xdr:rowOff>167640</xdr:rowOff>
    </xdr:from>
    <xdr:to>
      <xdr:col>12</xdr:col>
      <xdr:colOff>20955</xdr:colOff>
      <xdr:row>50</xdr:row>
      <xdr:rowOff>30480</xdr:rowOff>
    </xdr:to>
    <xdr:sp macro="" fLocksText="0">
      <xdr:nvSpPr>
        <xdr:cNvPr id="33" name="Oval 104"/>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AAAAADAAAAWgNnAzIAAAAMAAAAnAA6AB4hAADnQgAAIBAAAJ4BAAAAAAAAMAAAABQAAAAAAAAAAAD//wAAAQAAAP//AAABAA=="/>
            </a:ext>
          </a:extLst>
        </xdr:cNvSpPr>
      </xdr:nvSpPr>
      <xdr:spPr>
        <a:xfrm>
          <a:off x="5383530" y="10875645"/>
          <a:ext cx="2621280" cy="262890"/>
        </a:xfrm>
        <a:prstGeom prst="ellipse">
          <a:avLst/>
        </a:prstGeom>
        <a:noFill/>
        <a:ln w="25400" cap="flat">
          <a:solidFill>
            <a:srgbClr val="0070C0"/>
          </a:solidFill>
          <a:prstDash val="solid"/>
          <a:headEnd type="none" w="med" len="med"/>
          <a:tailEnd type="none" w="med" len="med"/>
        </a:ln>
        <a:effectLst/>
      </xdr:spPr>
    </xdr:sp>
    <xdr:clientData/>
  </xdr:twoCellAnchor>
  <xdr:twoCellAnchor editAs="oneCell">
    <xdr:from>
      <xdr:col>73</xdr:col>
      <xdr:colOff>3810</xdr:colOff>
      <xdr:row>61</xdr:row>
      <xdr:rowOff>0</xdr:rowOff>
    </xdr:from>
    <xdr:to>
      <xdr:col>76</xdr:col>
      <xdr:colOff>200660</xdr:colOff>
      <xdr:row>63</xdr:row>
      <xdr:rowOff>180975</xdr:rowOff>
    </xdr:to>
    <xdr:sp macro="" fLocksText="0">
      <xdr:nvSpPr>
        <xdr:cNvPr id="32" name="TextBox 107"/>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0AAABJAAAAAAAGAD8AAABMAAAAngNJARZpAADjUQAAuwwAAM4EAAABAAAAMAAAABQAAAAAAAAAAAD//wAAAQAAAP//AAABAA=="/>
            </a:ext>
          </a:extLst>
        </xdr:cNvSpPr>
      </xdr:nvSpPr>
      <xdr:spPr>
        <a:xfrm>
          <a:off x="17082770" y="13311505"/>
          <a:ext cx="2069465" cy="781050"/>
        </a:xfrm>
        <a:prstGeom prst="rect">
          <a:avLst/>
        </a:prstGeom>
        <a:solidFill>
          <a:srgbClr val="FFFFFF"/>
        </a:solidFill>
        <a:ln w="25400" cap="flat">
          <a:solidFill>
            <a:srgbClr val="0070C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0070C0"/>
              </a:solidFill>
              <a:latin typeface="Calibri" pitchFamily="2" charset="0"/>
              <a:ea typeface="Basic Sans" charset="0"/>
              <a:cs typeface="Basic Sans" charset="0"/>
            </a:rPr>
            <a:t>ENTER THE PERSON-MONTHS OF THE RESEARCHERS FUNDED BY THE PROJECT WHO WILL BE INVOLVED IN THE TASKS</a:t>
          </a:r>
        </a:p>
      </xdr:txBody>
    </xdr:sp>
    <xdr:clientData/>
  </xdr:twoCellAnchor>
  <xdr:twoCellAnchor>
    <xdr:from>
      <xdr:col>7</xdr:col>
      <xdr:colOff>288290</xdr:colOff>
      <xdr:row>50</xdr:row>
      <xdr:rowOff>30480</xdr:rowOff>
    </xdr:from>
    <xdr:to>
      <xdr:col>73</xdr:col>
      <xdr:colOff>3810</xdr:colOff>
      <xdr:row>61</xdr:row>
      <xdr:rowOff>390525</xdr:rowOff>
    </xdr:to>
    <xdr:cxnSp macro="">
      <xdr:nvCxnSpPr>
        <xdr:cNvPr id="31" name="Straight Connector 108"/>
        <xdr:cNvCxnSpPr>
          <a:stCxn id="33" idx="4"/>
          <a:endCxn id="32" idx="1"/>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BwwAAt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IAAAAHAAAAnACnAz0AAABJAAAA6AMGAC4pAACFRAAA6D8AAMUPAAAAAAAAMAAAABQAAAAAAAAAAAD//wAAAQAAAP//AAABAA=="/>
            </a:ext>
          </a:extLst>
        </xdr:cNvCxnSpPr>
      </xdr:nvCxnSpPr>
      <xdr:spPr>
        <a:xfrm rot="16200000" flipH="1">
          <a:off x="6694170" y="11138535"/>
          <a:ext cx="10388600" cy="2563495"/>
        </a:xfrm>
        <a:prstGeom prst="straightConnector1">
          <a:avLst/>
        </a:prstGeom>
        <a:noFill/>
        <a:ln w="28575" cap="flat">
          <a:solidFill>
            <a:srgbClr val="0070C0"/>
          </a:solidFill>
          <a:prstDash val="solid"/>
          <a:headEnd type="none" w="med" len="med"/>
          <a:tailEnd type="none" w="med" len="med"/>
        </a:ln>
        <a:effectLst/>
      </xdr:spPr>
    </xdr:cxnSp>
    <xdr:clientData/>
  </xdr:twoCellAnchor>
  <xdr:twoCellAnchor>
    <xdr:from>
      <xdr:col>13</xdr:col>
      <xdr:colOff>33020</xdr:colOff>
      <xdr:row>48</xdr:row>
      <xdr:rowOff>180340</xdr:rowOff>
    </xdr:from>
    <xdr:to>
      <xdr:col>22</xdr:col>
      <xdr:colOff>271145</xdr:colOff>
      <xdr:row>50</xdr:row>
      <xdr:rowOff>43180</xdr:rowOff>
    </xdr:to>
    <xdr:sp macro="" fLocksText="0">
      <xdr:nvSpPr>
        <xdr:cNvPr id="30" name="Oval 111"/>
        <xdr:cNvSpPr>
          <a:extLst>
            <a:ext uri="smNativeData">
              <pm:smNativeData xmlns:pm="smNativeData" val="SMDATA_14_nJsLaBMAAAAlAAAAZgAAAI0AAAAAkAAAAEgAAACQAAAASAAAAAAAAAAAAAAAAAAAAAEAAABQAAAAAAAAAAAA8D8AAAAAAADw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AAAAANAAAAmwNrADIAAAAWAAAA3QBwA5kzAAD7QgAA8BIAAJ4BAAAAAAAAMAAAABQAAAAAAAAAAAD//wAAAQAAAP//AAABAA=="/>
            </a:ext>
          </a:extLst>
        </xdr:cNvSpPr>
      </xdr:nvSpPr>
      <xdr:spPr>
        <a:xfrm>
          <a:off x="8387715" y="10888345"/>
          <a:ext cx="3078480" cy="262890"/>
        </a:xfrm>
        <a:prstGeom prst="ellipse">
          <a:avLst/>
        </a:prstGeom>
        <a:noFill/>
        <a:ln w="25400" cap="flat">
          <a:solidFill>
            <a:srgbClr val="0070C0"/>
          </a:solidFill>
          <a:prstDash val="solid"/>
          <a:headEnd type="none" w="med" len="med"/>
          <a:tailEnd type="none" w="med" len="med"/>
        </a:ln>
        <a:effectLst/>
      </xdr:spPr>
    </xdr:sp>
    <xdr:clientData/>
  </xdr:twoCellAnchor>
  <xdr:twoCellAnchor>
    <xdr:from>
      <xdr:col>74</xdr:col>
      <xdr:colOff>58420</xdr:colOff>
      <xdr:row>52</xdr:row>
      <xdr:rowOff>107950</xdr:rowOff>
    </xdr:from>
    <xdr:to>
      <xdr:col>74</xdr:col>
      <xdr:colOff>564515</xdr:colOff>
      <xdr:row>54</xdr:row>
      <xdr:rowOff>26670</xdr:rowOff>
    </xdr:to>
    <xdr:sp macro="" fLocksText="0">
      <xdr:nvSpPr>
        <xdr:cNvPr id="29" name="Oval 114"/>
        <xdr:cNvSpPr>
          <a:extLst>
            <a:ext uri="smNativeData">
              <pm:smNativeData xmlns:pm="smNativeData" val="SMDATA_14_nJsLaBMAAAAlAAAAZgAAAI0AAAAAkAAAAEgAAACQAAAASAAAAAAAAAABAAAAAAAAAAEAAABQAAAAAAAAAAAA8D8AAAAAAADwPwAAAAAAAOA/AAAAAAAA4D8AAAAAAADgPwAAAAAAAOA/AAAAAAAA4D8AAAAAAADgPwAAAAAAAOA/AAAAAAAA4D8CAAAAjAAAAAEAAAAAAAAAACBgAAAAAAAAAAAAAAAAAAAAAAAAAAAAAAAAAAAAAAAAAAAAZAAAAAEAAABAAAAAAAAAAAAAAAAAAAAAAAAAAAAAAAAAAAAAAAAAAAAAAAAAAAAAAAAAAAAAAAAAAAAAAAAAAAAAAAAAAAAAAAAAAAAAAAAAAAAAAAAAAAAAAAAAAAAAFAAAADwAAAAAAAAAAAAAADtgj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QAAABKAAAAKQJgADYAAABKAAAAiQCeA0NtAAB1RwAAHQMAAPYBAAAAAAAAMAAAABQAAAAAAAAA/Er//wS1AAD8Sv//BLUAAA=="/>
            </a:ext>
          </a:extLst>
        </xdr:cNvSpPr>
      </xdr:nvSpPr>
      <xdr:spPr>
        <a:xfrm>
          <a:off x="17761585" y="11616055"/>
          <a:ext cx="506095" cy="318770"/>
        </a:xfrm>
        <a:prstGeom prst="ellipse">
          <a:avLst/>
        </a:prstGeom>
        <a:solidFill>
          <a:srgbClr val="002060"/>
        </a:solidFill>
        <a:ln w="25400" cap="flat">
          <a:noFill/>
          <a:prstDash val="solid"/>
          <a:headEnd type="none" w="med" len="med"/>
          <a:tailEnd type="none" w="med" len="med"/>
        </a:ln>
        <a:effectLst/>
      </xdr:spPr>
      <xdr:txBody>
        <a:bodyPr spcFirstLastPara="1" vertOverflow="clip" horzOverflow="clip" wrap="square" lIns="91440" tIns="45720" rIns="91440" bIns="45720" anchor="ctr" upright="1"/>
        <a:lstStyle/>
        <a:p>
          <a:pPr algn="ctr" defTabSz="360045" rtl="0">
            <a:defRPr sz="1000"/>
          </a:pPr>
          <a:r>
            <a:rPr lang="en-us" sz="1200" b="1" i="0" u="none" strike="noStrike" kern="100" baseline="0">
              <a:solidFill>
                <a:srgbClr val="FFFFFF"/>
              </a:solidFill>
              <a:latin typeface="Calibri" pitchFamily="2" charset="0"/>
              <a:ea typeface="Basic Sans" charset="0"/>
              <a:cs typeface="Basic Sans" charset="0"/>
            </a:rPr>
            <a:t>10</a:t>
          </a:r>
        </a:p>
      </xdr:txBody>
    </xdr:sp>
    <xdr:clientData/>
  </xdr:twoCellAnchor>
  <xdr:twoCellAnchor editAs="oneCell">
    <xdr:from>
      <xdr:col>72</xdr:col>
      <xdr:colOff>591820</xdr:colOff>
      <xdr:row>54</xdr:row>
      <xdr:rowOff>58420</xdr:rowOff>
    </xdr:from>
    <xdr:to>
      <xdr:col>76</xdr:col>
      <xdr:colOff>164465</xdr:colOff>
      <xdr:row>59</xdr:row>
      <xdr:rowOff>12065</xdr:rowOff>
    </xdr:to>
    <xdr:sp macro="" fLocksText="0">
      <xdr:nvSpPr>
        <xdr:cNvPr id="28" name="TextBox 115"/>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ABww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AAAAA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YAAABIAAAAKwHLAzsAAABMAAAAPgAOAd1oAACdSQAAuwwAAN4FAAABAAAAMAAAABQAAAAAAAAAAAD//wAAAQAAAP//AAABAA=="/>
            </a:ext>
          </a:extLst>
        </xdr:cNvSpPr>
      </xdr:nvSpPr>
      <xdr:spPr>
        <a:xfrm>
          <a:off x="17046575" y="11966575"/>
          <a:ext cx="2069465" cy="953770"/>
        </a:xfrm>
        <a:prstGeom prst="rect">
          <a:avLst/>
        </a:prstGeom>
        <a:solidFill>
          <a:srgbClr val="FFFFFF"/>
        </a:solidFill>
        <a:ln w="25400" cap="flat">
          <a:solidFill>
            <a:srgbClr val="0070C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0070C0"/>
              </a:solidFill>
              <a:latin typeface="Calibri" pitchFamily="2" charset="0"/>
              <a:ea typeface="Basic Sans" charset="0"/>
              <a:cs typeface="Basic Sans" charset="0"/>
            </a:rPr>
            <a:t>ENTER THE PERSON-MONTHS OF RESEARCHERS FUNDED BY OTHER SOURCES OR CONTRIBUTING IN KIND TO THE PROJECT TASKS</a:t>
          </a:r>
        </a:p>
      </xdr:txBody>
    </xdr:sp>
    <xdr:clientData/>
  </xdr:twoCellAnchor>
  <xdr:twoCellAnchor>
    <xdr:from>
      <xdr:col>21</xdr:col>
      <xdr:colOff>135890</xdr:colOff>
      <xdr:row>50</xdr:row>
      <xdr:rowOff>4445</xdr:rowOff>
    </xdr:from>
    <xdr:to>
      <xdr:col>72</xdr:col>
      <xdr:colOff>591820</xdr:colOff>
      <xdr:row>56</xdr:row>
      <xdr:rowOff>135255</xdr:rowOff>
    </xdr:to>
    <xdr:cxnSp macro="">
      <xdr:nvCxnSpPr>
        <xdr:cNvPr id="27" name="Straight Connector 116"/>
        <xdr:cNvCxnSpPr>
          <a:stCxn id="30" idx="5"/>
          <a:endCxn id="28" idx="1"/>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ABwwAAt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xjIH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IAAAAVAAAAFwC5ATgAAABIAAAAtALLA8NDAABcRAAAGiUAADAIAAAAAAAAMAAAABQAAAAAAAAAAAD//wAAAQAAAP//AAABAA=="/>
            </a:ext>
          </a:extLst>
        </xdr:cNvCxnSpPr>
      </xdr:nvCxnSpPr>
      <xdr:spPr>
        <a:xfrm rot="16200000" flipH="1">
          <a:off x="11015345" y="11112500"/>
          <a:ext cx="6031230" cy="1330960"/>
        </a:xfrm>
        <a:prstGeom prst="straightConnector1">
          <a:avLst/>
        </a:prstGeom>
        <a:noFill/>
        <a:ln w="28575" cap="flat">
          <a:solidFill>
            <a:srgbClr val="0070C0"/>
          </a:solidFill>
          <a:prstDash val="solid"/>
          <a:headEnd type="none" w="med" len="med"/>
          <a:tailEnd type="none" w="med" len="med"/>
        </a:ln>
        <a:effectLst/>
      </xdr:spPr>
    </xdr:cxnSp>
    <xdr:clientData/>
  </xdr:twoCellAnchor>
  <xdr:twoCellAnchor>
    <xdr:from>
      <xdr:col>3</xdr:col>
      <xdr:colOff>473075</xdr:colOff>
      <xdr:row>76</xdr:row>
      <xdr:rowOff>109220</xdr:rowOff>
    </xdr:from>
    <xdr:to>
      <xdr:col>5</xdr:col>
      <xdr:colOff>25400</xdr:colOff>
      <xdr:row>78</xdr:row>
      <xdr:rowOff>71755</xdr:rowOff>
    </xdr:to>
    <xdr:sp macro="" fLocksText="0">
      <xdr:nvSpPr>
        <xdr:cNvPr id="26" name="Rectangle 122"/>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CByPS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EwAAAADAAAAJgK+A04AAAAFAAAAbQFSAGIhAAA/ZgAATAIAAEoCAAAAAAAAMAAAABQAAAAAAAAAAAD//wAAAQAAAP//AAABAA=="/>
            </a:ext>
          </a:extLst>
        </xdr:cNvSpPr>
      </xdr:nvSpPr>
      <xdr:spPr>
        <a:xfrm>
          <a:off x="5426710" y="16621125"/>
          <a:ext cx="373380" cy="372110"/>
        </a:xfrm>
        <a:prstGeom prst="rect">
          <a:avLst/>
        </a:prstGeom>
        <a:noFill/>
        <a:ln w="25400" cap="flat">
          <a:solidFill>
            <a:srgbClr val="FFC000"/>
          </a:solidFill>
          <a:prstDash val="solid"/>
          <a:headEnd type="none" w="med" len="med"/>
          <a:tailEnd type="none" w="med" len="med"/>
        </a:ln>
        <a:effectLst/>
      </xdr:spPr>
    </xdr:sp>
    <xdr:clientData/>
  </xdr:twoCellAnchor>
  <xdr:twoCellAnchor editAs="oneCell">
    <xdr:from>
      <xdr:col>1</xdr:col>
      <xdr:colOff>1045845</xdr:colOff>
      <xdr:row>81</xdr:row>
      <xdr:rowOff>17145</xdr:rowOff>
    </xdr:from>
    <xdr:to>
      <xdr:col>3</xdr:col>
      <xdr:colOff>302895</xdr:colOff>
      <xdr:row>89</xdr:row>
      <xdr:rowOff>89535</xdr:rowOff>
    </xdr:to>
    <xdr:sp macro="" fLocksText="0">
      <xdr:nvSpPr>
        <xdr:cNvPr id="25" name="TextBox 124"/>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C8+PGM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FEAAAABAAAAWQDfAVkAAAADAAAA0wFmApsTAADaawAAuwwAABoKAAABAAAAMAAAABQAAAAAAAAAAAD//wAAAQAAAP//AAABAA=="/>
            </a:ext>
          </a:extLst>
        </xdr:cNvSpPr>
      </xdr:nvSpPr>
      <xdr:spPr>
        <a:xfrm>
          <a:off x="3187065" y="17532350"/>
          <a:ext cx="2069465" cy="1642110"/>
        </a:xfrm>
        <a:prstGeom prst="rect">
          <a:avLst/>
        </a:prstGeom>
        <a:solidFill>
          <a:srgbClr val="FFFFFF"/>
        </a:solidFill>
        <a:ln w="25400" cap="flat">
          <a:solidFill>
            <a:srgbClr val="FFC00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4A462B"/>
              </a:solidFill>
              <a:latin typeface="Calibri" pitchFamily="2" charset="0"/>
              <a:ea typeface="Basic Sans" charset="0"/>
              <a:cs typeface="Basic Sans" charset="0"/>
            </a:rPr>
            <a:t>THIS CELL CALCULATES THE RESEARCHER'S TOTAL PERSON-MONTHS IN THE PROJECT, BY ADDING  TOGETHER THE RESEARCHER'S PERSON-MONTHS IN THE DIFFERENT WORK PACKAGES (WP1 + WP2 + WPX + WPZ)</a:t>
          </a:r>
        </a:p>
        <a:p>
          <a:pPr algn="ctr" defTabSz="360045" rtl="0">
            <a:defRPr sz="1000"/>
          </a:pPr>
          <a:r>
            <a:rPr lang="en-us" sz="1100" b="0" i="0" u="none" strike="noStrike" kern="100" baseline="0">
              <a:solidFill>
                <a:srgbClr val="4A462B"/>
              </a:solidFill>
              <a:latin typeface="Calibri" pitchFamily="2" charset="0"/>
              <a:ea typeface="Basic Sans" charset="0"/>
              <a:cs typeface="Basic Sans" charset="0"/>
            </a:rPr>
            <a:t>(sums column)</a:t>
          </a:r>
        </a:p>
      </xdr:txBody>
    </xdr:sp>
    <xdr:clientData/>
  </xdr:twoCellAnchor>
  <xdr:twoCellAnchor>
    <xdr:from>
      <xdr:col>1</xdr:col>
      <xdr:colOff>2080895</xdr:colOff>
      <xdr:row>78</xdr:row>
      <xdr:rowOff>71755</xdr:rowOff>
    </xdr:from>
    <xdr:to>
      <xdr:col>4</xdr:col>
      <xdr:colOff>154305</xdr:colOff>
      <xdr:row>81</xdr:row>
      <xdr:rowOff>17145</xdr:rowOff>
    </xdr:to>
    <xdr:cxnSp macro="">
      <xdr:nvCxnSpPr>
        <xdr:cNvPr id="24" name="Straight Connector 125"/>
        <xdr:cNvCxnSpPr>
          <a:stCxn id="26" idx="2"/>
          <a:endCxn id="25" idx="0"/>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P/AAAAt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48Yy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E4AAAABAAAAbQG5A1EAAAAEAAAAWQD1AfkZAACJaAAAjwgAAFEDAAAAAAAAMAAAABQAAAAAAAAAAAD//wAAAQAAAP//AAABAA=="/>
            </a:ext>
          </a:extLst>
        </xdr:cNvCxnSpPr>
      </xdr:nvCxnSpPr>
      <xdr:spPr>
        <a:xfrm rot="5400000">
          <a:off x="4222115" y="16993235"/>
          <a:ext cx="1391285" cy="539115"/>
        </a:xfrm>
        <a:prstGeom prst="straightConnector1">
          <a:avLst/>
        </a:prstGeom>
        <a:noFill/>
        <a:ln w="28575" cap="flat">
          <a:solidFill>
            <a:srgbClr val="FFC000"/>
          </a:solidFill>
          <a:prstDash val="solid"/>
          <a:headEnd type="none" w="med" len="med"/>
          <a:tailEnd type="none" w="med" len="med"/>
        </a:ln>
        <a:effectLst/>
      </xdr:spPr>
    </xdr:cxnSp>
    <xdr:clientData/>
  </xdr:twoCellAnchor>
  <xdr:twoCellAnchor>
    <xdr:from>
      <xdr:col>7</xdr:col>
      <xdr:colOff>0</xdr:colOff>
      <xdr:row>61</xdr:row>
      <xdr:rowOff>0</xdr:rowOff>
    </xdr:from>
    <xdr:to>
      <xdr:col>8</xdr:col>
      <xdr:colOff>12700</xdr:colOff>
      <xdr:row>62</xdr:row>
      <xdr:rowOff>56515</xdr:rowOff>
    </xdr:to>
    <xdr:sp macro="" fLocksText="0">
      <xdr:nvSpPr>
        <xdr:cNvPr id="23" name="Rectangle 128"/>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CIgcz0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0AAAAHAAAAAAAAAD4AAAAIAAAAIQEpAGgnAADjUQAABQIAAM8CAAAAAAAAMAAAABQAAAAAAAAAAAD//wAAAQAAAP//AAABAA=="/>
            </a:ext>
          </a:extLst>
        </xdr:cNvSpPr>
      </xdr:nvSpPr>
      <xdr:spPr>
        <a:xfrm>
          <a:off x="6405880" y="13311505"/>
          <a:ext cx="328295" cy="456565"/>
        </a:xfrm>
        <a:prstGeom prst="rect">
          <a:avLst/>
        </a:prstGeom>
        <a:noFill/>
        <a:ln w="25400" cap="flat">
          <a:solidFill>
            <a:srgbClr val="FFC000"/>
          </a:solidFill>
          <a:prstDash val="solid"/>
          <a:headEnd type="none" w="med" len="med"/>
          <a:tailEnd type="none" w="med" len="med"/>
        </a:ln>
        <a:effectLst/>
      </xdr:spPr>
    </xdr:sp>
    <xdr:clientData/>
  </xdr:twoCellAnchor>
  <xdr:twoCellAnchor editAs="oneCell">
    <xdr:from>
      <xdr:col>4</xdr:col>
      <xdr:colOff>174625</xdr:colOff>
      <xdr:row>81</xdr:row>
      <xdr:rowOff>39370</xdr:rowOff>
    </xdr:from>
    <xdr:to>
      <xdr:col>11</xdr:col>
      <xdr:colOff>147955</xdr:colOff>
      <xdr:row>89</xdr:row>
      <xdr:rowOff>111760</xdr:rowOff>
    </xdr:to>
    <xdr:sp macro="" fLocksText="0">
      <xdr:nvSpPr>
        <xdr:cNvPr id="22" name="TextBox 129"/>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CByPS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FEAAAAEAAAAzQA3AlkAAAALAAAARwLgAagiAAD9awAAbQ0AABoKAAABAAAAMAAAABQAAAAAAAAAAAD//wAAAQAAAP//AAABAA=="/>
            </a:ext>
          </a:extLst>
        </xdr:cNvSpPr>
      </xdr:nvSpPr>
      <xdr:spPr>
        <a:xfrm>
          <a:off x="5633720" y="17554575"/>
          <a:ext cx="2182495" cy="1642110"/>
        </a:xfrm>
        <a:prstGeom prst="rect">
          <a:avLst/>
        </a:prstGeom>
        <a:solidFill>
          <a:srgbClr val="FFFFFF"/>
        </a:solidFill>
        <a:ln w="25400" cap="flat">
          <a:solidFill>
            <a:srgbClr val="FFC00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4A462B"/>
              </a:solidFill>
              <a:latin typeface="Calibri" pitchFamily="2" charset="0"/>
              <a:ea typeface="Basic Sans" charset="0"/>
              <a:cs typeface="Basic Sans" charset="0"/>
            </a:rPr>
            <a:t>THIS CELL CALCULATES THE RESEARCHER'S TOTAL PERSON-MONTHS IN THE WORK PACKAGE, BY ADDING TOGETHER  THE PERSON-MONTHS OF THIS RESEARCHER IN THE DIFFERENT TASKS (TASK Z.1 + TASK Z.2 + TASK Z.3 + TASK Z.4 + TASK Z.5))</a:t>
          </a:r>
        </a:p>
        <a:p>
          <a:pPr algn="ctr" defTabSz="360045" rtl="0">
            <a:defRPr sz="1000"/>
          </a:pPr>
          <a:r>
            <a:rPr lang="en-us" sz="1100" b="0" i="0" u="none" strike="noStrike" kern="100" baseline="0">
              <a:solidFill>
                <a:srgbClr val="4A462B"/>
              </a:solidFill>
              <a:latin typeface="Calibri" pitchFamily="2" charset="0"/>
              <a:ea typeface="Basic Sans" charset="0"/>
              <a:cs typeface="Basic Sans" charset="0"/>
            </a:rPr>
            <a:t>(sums column)</a:t>
          </a:r>
        </a:p>
      </xdr:txBody>
    </xdr:sp>
    <xdr:clientData/>
  </xdr:twoCellAnchor>
  <xdr:twoCellAnchor>
    <xdr:from>
      <xdr:col>7</xdr:col>
      <xdr:colOff>164465</xdr:colOff>
      <xdr:row>62</xdr:row>
      <xdr:rowOff>56515</xdr:rowOff>
    </xdr:from>
    <xdr:to>
      <xdr:col>8</xdr:col>
      <xdr:colOff>3810</xdr:colOff>
      <xdr:row>81</xdr:row>
      <xdr:rowOff>39370</xdr:rowOff>
    </xdr:to>
    <xdr:cxnSp macro="">
      <xdr:nvCxnSpPr>
        <xdr:cNvPr id="21" name="Straight Connector 130"/>
        <xdr:cNvCxnSpPr>
          <a:stCxn id="23" idx="2"/>
          <a:endCxn id="22" idx="0"/>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P/AAAAt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CJCNjU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D4AAAAHAAAAIQEWAlEAAAAIAAAAzQAMAGsoAACyVAAA9AAAAEsXAAAAAAAAMAAAABQAAAAAAAAAAAD//wAAAQAAAP//AAABAA=="/>
            </a:ext>
          </a:extLst>
        </xdr:cNvCxnSpPr>
      </xdr:nvCxnSpPr>
      <xdr:spPr>
        <a:xfrm rot="16200000" flipH="1">
          <a:off x="6570345" y="13768070"/>
          <a:ext cx="154940" cy="3786505"/>
        </a:xfrm>
        <a:prstGeom prst="straightConnector1">
          <a:avLst/>
        </a:prstGeom>
        <a:noFill/>
        <a:ln w="28575" cap="flat">
          <a:solidFill>
            <a:srgbClr val="FFC000"/>
          </a:solidFill>
          <a:prstDash val="solid"/>
          <a:headEnd type="none" w="med" len="med"/>
          <a:tailEnd type="none" w="med" len="med"/>
        </a:ln>
        <a:effectLst/>
      </xdr:spPr>
    </xdr:cxnSp>
    <xdr:clientData/>
  </xdr:twoCellAnchor>
  <xdr:twoCellAnchor>
    <xdr:from>
      <xdr:col>11</xdr:col>
      <xdr:colOff>292100</xdr:colOff>
      <xdr:row>73</xdr:row>
      <xdr:rowOff>111125</xdr:rowOff>
    </xdr:from>
    <xdr:to>
      <xdr:col>13</xdr:col>
      <xdr:colOff>25400</xdr:colOff>
      <xdr:row>75</xdr:row>
      <xdr:rowOff>66675</xdr:rowOff>
    </xdr:to>
    <xdr:sp macro="" fLocksText="0">
      <xdr:nvSpPr>
        <xdr:cNvPr id="20" name="Rectangle 133"/>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wvcm8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EkAAAALAAAAOQK0A0sAAAANAAAAVQFSAPgwAACRYgAAlQIAADACAAAAAAAAMAAAABQAAAAAAAAAAAD//wAAAQAAAP//AAABAA=="/>
            </a:ext>
          </a:extLst>
        </xdr:cNvSpPr>
      </xdr:nvSpPr>
      <xdr:spPr>
        <a:xfrm>
          <a:off x="7960360" y="16022955"/>
          <a:ext cx="419735" cy="355600"/>
        </a:xfrm>
        <a:prstGeom prst="rect">
          <a:avLst/>
        </a:prstGeom>
        <a:noFill/>
        <a:ln w="25400" cap="flat">
          <a:solidFill>
            <a:srgbClr val="FFC000"/>
          </a:solidFill>
          <a:prstDash val="solid"/>
          <a:headEnd type="none" w="med" len="med"/>
          <a:tailEnd type="none" w="med" len="med"/>
        </a:ln>
        <a:effectLst/>
      </xdr:spPr>
    </xdr:sp>
    <xdr:clientData/>
  </xdr:twoCellAnchor>
  <xdr:twoCellAnchor>
    <xdr:from>
      <xdr:col>12</xdr:col>
      <xdr:colOff>186690</xdr:colOff>
      <xdr:row>75</xdr:row>
      <xdr:rowOff>66675</xdr:rowOff>
    </xdr:from>
    <xdr:to>
      <xdr:col>16</xdr:col>
      <xdr:colOff>286385</xdr:colOff>
      <xdr:row>81</xdr:row>
      <xdr:rowOff>50165</xdr:rowOff>
    </xdr:to>
    <xdr:cxnSp macro="">
      <xdr:nvCxnSpPr>
        <xdr:cNvPr id="19" name="Straight Connector 136"/>
        <xdr:cNvCxnSpPr>
          <a:stCxn id="20" idx="2"/>
          <a:endCxn id="9" idx="0"/>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P/AAAAt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EJKNjY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EsAAAAMAAAAVQEEAlEAAAAQAAAABgGhA0MyAADBZAAAuAgAAE0HAAAAAAAAMAAAABQAAAAAAAAAAAD//wAAAQAAAP//AAABAA=="/>
            </a:ext>
          </a:extLst>
        </xdr:cNvCxnSpPr>
      </xdr:nvCxnSpPr>
      <xdr:spPr>
        <a:xfrm rot="16200000" flipH="1">
          <a:off x="8170545" y="16378555"/>
          <a:ext cx="1417320" cy="1186815"/>
        </a:xfrm>
        <a:prstGeom prst="straightConnector1">
          <a:avLst/>
        </a:prstGeom>
        <a:noFill/>
        <a:ln w="28575" cap="flat">
          <a:solidFill>
            <a:srgbClr val="FFC000"/>
          </a:solidFill>
          <a:prstDash val="solid"/>
          <a:headEnd type="none" w="med" len="med"/>
          <a:tailEnd type="none" w="med" len="med"/>
        </a:ln>
        <a:effectLst/>
      </xdr:spPr>
    </xdr:cxnSp>
    <xdr:clientData/>
  </xdr:twoCellAnchor>
  <xdr:twoCellAnchor editAs="oneCell">
    <xdr:from>
      <xdr:col>25</xdr:col>
      <xdr:colOff>3175</xdr:colOff>
      <xdr:row>81</xdr:row>
      <xdr:rowOff>53975</xdr:rowOff>
    </xdr:from>
    <xdr:to>
      <xdr:col>49</xdr:col>
      <xdr:colOff>15240</xdr:colOff>
      <xdr:row>87</xdr:row>
      <xdr:rowOff>174625</xdr:rowOff>
    </xdr:to>
    <xdr:sp macro="" fLocksText="0">
      <xdr:nvSpPr>
        <xdr:cNvPr id="18" name="TextBox 139"/>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0iQkQ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FEAAAAZAAAAGgEiAFcAAAAxAAAAjwOlAONJAAAUbAAACw4AAPwHAAABAAAAMAAAABQAAAAAAAAAAAD//wAAAQAAAP//AAABAA=="/>
            </a:ext>
          </a:extLst>
        </xdr:cNvSpPr>
      </xdr:nvSpPr>
      <xdr:spPr>
        <a:xfrm>
          <a:off x="12011025" y="17569180"/>
          <a:ext cx="2282825" cy="1297940"/>
        </a:xfrm>
        <a:prstGeom prst="rect">
          <a:avLst/>
        </a:prstGeom>
        <a:solidFill>
          <a:srgbClr val="FFFFFF"/>
        </a:solidFill>
        <a:ln w="25400" cap="flat">
          <a:solidFill>
            <a:srgbClr val="FFC00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4A462B"/>
              </a:solidFill>
              <a:latin typeface="Calibri" pitchFamily="2" charset="0"/>
              <a:ea typeface="Basic Sans" charset="0"/>
              <a:cs typeface="Basic Sans" charset="0"/>
            </a:rPr>
            <a:t>THIS CELL CALCULATES THE TOTAL PERSON-MONTHS FOR TASK Z.5 NOT FUNDED BY THE PROJECT,  BY ADDING TOGETHER  THE PERSON-MONTHS OF ALL THE RESEARCHERS INVOLVED IN THIS TASK</a:t>
          </a:r>
        </a:p>
        <a:p>
          <a:pPr algn="ctr" defTabSz="360045" rtl="0">
            <a:defRPr sz="1000"/>
          </a:pPr>
          <a:r>
            <a:rPr lang="en-us" sz="1100" b="0" i="0" u="none" strike="noStrike" kern="100" baseline="0">
              <a:solidFill>
                <a:srgbClr val="4A462B"/>
              </a:solidFill>
              <a:latin typeface="Calibri" pitchFamily="2" charset="0"/>
              <a:ea typeface="Basic Sans" charset="0"/>
              <a:cs typeface="Basic Sans" charset="0"/>
            </a:rPr>
            <a:t>(sums line)</a:t>
          </a:r>
        </a:p>
      </xdr:txBody>
    </xdr:sp>
    <xdr:clientData/>
  </xdr:twoCellAnchor>
  <xdr:twoCellAnchor>
    <xdr:from>
      <xdr:col>23</xdr:col>
      <xdr:colOff>226695</xdr:colOff>
      <xdr:row>75</xdr:row>
      <xdr:rowOff>53975</xdr:rowOff>
    </xdr:from>
    <xdr:to>
      <xdr:col>37</xdr:col>
      <xdr:colOff>9525</xdr:colOff>
      <xdr:row>81</xdr:row>
      <xdr:rowOff>53975</xdr:rowOff>
    </xdr:to>
    <xdr:cxnSp macro="">
      <xdr:nvCxnSpPr>
        <xdr:cNvPr id="17" name="Straight Connector 140"/>
        <xdr:cNvCxnSpPr>
          <a:stCxn id="16" idx="2"/>
          <a:endCxn id="18" idx="0"/>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P/AAAAt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CByPS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EsAAAAXAAAAFAFBAlEAAAAlAAAAGgFnADRIAACtZAAAtQgAAGcHAAAAAAAAMAAAABQAAAAAAAAAAAD//wAAAQAAAP//AAABAA=="/>
            </a:ext>
          </a:extLst>
        </xdr:cNvCxnSpPr>
      </xdr:nvCxnSpPr>
      <xdr:spPr>
        <a:xfrm rot="16200000" flipH="1">
          <a:off x="11737340" y="16365855"/>
          <a:ext cx="1415415" cy="1203325"/>
        </a:xfrm>
        <a:prstGeom prst="straightConnector1">
          <a:avLst/>
        </a:prstGeom>
        <a:noFill/>
        <a:ln w="28575" cap="flat">
          <a:solidFill>
            <a:srgbClr val="FFC000"/>
          </a:solidFill>
          <a:prstDash val="solid"/>
          <a:headEnd type="none" w="med" len="med"/>
          <a:tailEnd type="none" w="med" len="med"/>
        </a:ln>
        <a:effectLst/>
      </xdr:spPr>
    </xdr:cxnSp>
    <xdr:clientData/>
  </xdr:twoCellAnchor>
  <xdr:twoCellAnchor>
    <xdr:from>
      <xdr:col>23</xdr:col>
      <xdr:colOff>0</xdr:colOff>
      <xdr:row>73</xdr:row>
      <xdr:rowOff>98425</xdr:rowOff>
    </xdr:from>
    <xdr:to>
      <xdr:col>24</xdr:col>
      <xdr:colOff>50800</xdr:colOff>
      <xdr:row>75</xdr:row>
      <xdr:rowOff>53975</xdr:rowOff>
    </xdr:to>
    <xdr:sp macro="" fLocksText="0">
      <xdr:nvSpPr>
        <xdr:cNvPr id="16" name="Rectangle 142"/>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0iQU4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EkAAAAXAAAA+AEAAEsAAAAYAAAAFAEmAs9GAAB9YgAAygIAADACAAAAAAAAMAAAABQAAAAAAAAAAAD//wAAAQAAAP//AAABAA=="/>
            </a:ext>
          </a:extLst>
        </xdr:cNvSpPr>
      </xdr:nvSpPr>
      <xdr:spPr>
        <a:xfrm>
          <a:off x="11510645" y="16010255"/>
          <a:ext cx="453390" cy="355600"/>
        </a:xfrm>
        <a:prstGeom prst="rect">
          <a:avLst/>
        </a:prstGeom>
        <a:noFill/>
        <a:ln w="25400" cap="flat">
          <a:solidFill>
            <a:srgbClr val="FFC000"/>
          </a:solidFill>
          <a:prstDash val="solid"/>
          <a:headEnd type="none" w="med" len="med"/>
          <a:tailEnd type="none" w="med" len="med"/>
        </a:ln>
        <a:effectLst/>
      </xdr:spPr>
    </xdr:sp>
    <xdr:clientData/>
  </xdr:twoCellAnchor>
  <xdr:twoCellAnchor>
    <xdr:from>
      <xdr:col>11</xdr:col>
      <xdr:colOff>304800</xdr:colOff>
      <xdr:row>76</xdr:row>
      <xdr:rowOff>127000</xdr:rowOff>
    </xdr:from>
    <xdr:to>
      <xdr:col>13</xdr:col>
      <xdr:colOff>38100</xdr:colOff>
      <xdr:row>78</xdr:row>
      <xdr:rowOff>83185</xdr:rowOff>
    </xdr:to>
    <xdr:sp macro="" fLocksText="0">
      <xdr:nvSpPr>
        <xdr:cNvPr id="15" name="Rectangle 147"/>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EFDNz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EwAAAALAAAAgALdA04AAAANAAAApwF8AAwxAABbZgAAlQIAAEACAAAAAAAAMAAAABQAAAAAAAAAAAD//wAAAQAAAP//AAABAA=="/>
            </a:ext>
          </a:extLst>
        </xdr:cNvSpPr>
      </xdr:nvSpPr>
      <xdr:spPr>
        <a:xfrm>
          <a:off x="7973060" y="16638905"/>
          <a:ext cx="419735" cy="365760"/>
        </a:xfrm>
        <a:prstGeom prst="rect">
          <a:avLst/>
        </a:prstGeom>
        <a:noFill/>
        <a:ln w="25400" cap="flat">
          <a:solidFill>
            <a:srgbClr val="FFC000"/>
          </a:solidFill>
          <a:prstDash val="solid"/>
          <a:headEnd type="none" w="med" len="med"/>
          <a:tailEnd type="none" w="med" len="med"/>
        </a:ln>
        <a:effectLst/>
      </xdr:spPr>
    </xdr:sp>
    <xdr:clientData/>
  </xdr:twoCellAnchor>
  <xdr:twoCellAnchor>
    <xdr:from>
      <xdr:col>23</xdr:col>
      <xdr:colOff>0</xdr:colOff>
      <xdr:row>76</xdr:row>
      <xdr:rowOff>114300</xdr:rowOff>
    </xdr:from>
    <xdr:to>
      <xdr:col>24</xdr:col>
      <xdr:colOff>50800</xdr:colOff>
      <xdr:row>78</xdr:row>
      <xdr:rowOff>70485</xdr:rowOff>
    </xdr:to>
    <xdr:sp macro="" fLocksText="0">
      <xdr:nvSpPr>
        <xdr:cNvPr id="14" name="Rectangle 148"/>
        <xdr:cNvSpPr>
          <a:extLst>
            <a:ext uri="smNativeData">
              <pm:smNativeData xmlns:pm="smNativeData" val="SMDATA_14_nJsLaBMAAAAlAAAAZAAAAI0AAAAAkAAAAEgAAACQAAAASAAAAAAAAAAAAAAAAAAAAAEAAABQAAAAAAAAAAAA4D8AAAAAAADgPwAAAAAAAOA/AAAAAAAA4D8AAAAAAADgPwAAAAAAAOA/AAAAAAAA4D8AAAAAAADgPwAAAAAAAOA/AAAAAAAA4D8CAAAAjAAAAAAAAAAAAAAAT4G9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FU3MS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EwAAAAXAAAAQAIAAE4AAAAYAAAAZwEmAs9GAABHZgAAygIAAEACAAAAAAAAMAAAABQAAAAAAAAAAAD//wAAAQAAAP//AAABAA=="/>
            </a:ext>
          </a:extLst>
        </xdr:cNvSpPr>
      </xdr:nvSpPr>
      <xdr:spPr>
        <a:xfrm>
          <a:off x="11510645" y="16626205"/>
          <a:ext cx="453390" cy="365760"/>
        </a:xfrm>
        <a:prstGeom prst="rect">
          <a:avLst/>
        </a:prstGeom>
        <a:noFill/>
        <a:ln w="25400" cap="flat">
          <a:solidFill>
            <a:srgbClr val="FFC000"/>
          </a:solidFill>
          <a:prstDash val="solid"/>
          <a:headEnd type="none" w="med" len="med"/>
          <a:tailEnd type="none" w="med" len="med"/>
        </a:ln>
        <a:effectLst/>
      </xdr:spPr>
    </xdr:sp>
    <xdr:clientData/>
  </xdr:twoCellAnchor>
  <xdr:twoCellAnchor editAs="oneCell">
    <xdr:from>
      <xdr:col>20</xdr:col>
      <xdr:colOff>22860</xdr:colOff>
      <xdr:row>90</xdr:row>
      <xdr:rowOff>3175</xdr:rowOff>
    </xdr:from>
    <xdr:to>
      <xdr:col>32</xdr:col>
      <xdr:colOff>93980</xdr:colOff>
      <xdr:row>94</xdr:row>
      <xdr:rowOff>172085</xdr:rowOff>
    </xdr:to>
    <xdr:sp macro="" fLocksText="0">
      <xdr:nvSpPr>
        <xdr:cNvPr id="13" name="TextBox 151"/>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48dj4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FoAAAAUAAAAEQBKAF4AAAAgAAAAggP5AyBBAAChdgAAZQ0AAN4FAAABAAAAMAAAABQAAAAAAAAAAAD//wAAAQAAAP//AAABAA=="/>
            </a:ext>
          </a:extLst>
        </xdr:cNvSpPr>
      </xdr:nvSpPr>
      <xdr:spPr>
        <a:xfrm>
          <a:off x="10586720" y="19284315"/>
          <a:ext cx="2177415" cy="953770"/>
        </a:xfrm>
        <a:prstGeom prst="rect">
          <a:avLst/>
        </a:prstGeom>
        <a:solidFill>
          <a:srgbClr val="FFFFFF"/>
        </a:solidFill>
        <a:ln w="25400" cap="flat">
          <a:solidFill>
            <a:srgbClr val="FFC00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4A462B"/>
              </a:solidFill>
              <a:latin typeface="Calibri" pitchFamily="2" charset="0"/>
              <a:ea typeface="Basic Sans" charset="0"/>
              <a:cs typeface="Basic Sans" charset="0"/>
            </a:rPr>
            <a:t>THIS CELL CALCULATES THE TOTAL PERSON-MONTHS OF ALL THE RESEARCHERS FOR ALL THE TASKS NOT FUNDED BY THE PROJECT</a:t>
          </a:r>
        </a:p>
        <a:p>
          <a:pPr algn="ctr" defTabSz="360045" rtl="0">
            <a:defRPr sz="1000"/>
          </a:pPr>
          <a:r>
            <a:rPr lang="en-us" sz="1100" b="0" i="0" u="none" strike="noStrike" kern="100" baseline="0">
              <a:solidFill>
                <a:srgbClr val="4A462B"/>
              </a:solidFill>
              <a:latin typeface="Calibri" pitchFamily="2" charset="0"/>
              <a:ea typeface="Basic Sans" charset="0"/>
              <a:cs typeface="Basic Sans" charset="0"/>
            </a:rPr>
            <a:t>(sums line)</a:t>
          </a:r>
        </a:p>
      </xdr:txBody>
    </xdr:sp>
    <xdr:clientData/>
  </xdr:twoCellAnchor>
  <xdr:twoCellAnchor>
    <xdr:from>
      <xdr:col>23</xdr:col>
      <xdr:colOff>165100</xdr:colOff>
      <xdr:row>78</xdr:row>
      <xdr:rowOff>70485</xdr:rowOff>
    </xdr:from>
    <xdr:to>
      <xdr:col>23</xdr:col>
      <xdr:colOff>226695</xdr:colOff>
      <xdr:row>90</xdr:row>
      <xdr:rowOff>3175</xdr:rowOff>
    </xdr:to>
    <xdr:cxnSp macro="">
      <xdr:nvCxnSpPr>
        <xdr:cNvPr id="12" name="Straight Connector 152"/>
        <xdr:cNvCxnSpPr>
          <a:stCxn id="14" idx="2"/>
          <a:endCxn id="13" idx="0"/>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P/AAAAt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CB0PS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E4AAAAXAAAAZwGkAVoAAAAXAAAAEQBBAtNHAACHaAAAYQAAABoOAAAAAAAAMAAAABQAAAAAAAAAAAD//wAAAQAAAP//AAABAA=="/>
            </a:ext>
          </a:extLst>
        </xdr:cNvCxnSpPr>
      </xdr:nvCxnSpPr>
      <xdr:spPr>
        <a:xfrm rot="5400000">
          <a:off x="11675745" y="16991965"/>
          <a:ext cx="61595" cy="2292350"/>
        </a:xfrm>
        <a:prstGeom prst="straightConnector1">
          <a:avLst/>
        </a:prstGeom>
        <a:noFill/>
        <a:ln w="28575" cap="flat">
          <a:solidFill>
            <a:srgbClr val="FFC000"/>
          </a:solidFill>
          <a:prstDash val="solid"/>
          <a:headEnd type="none" w="med" len="med"/>
          <a:tailEnd type="none" w="med" len="med"/>
        </a:ln>
        <a:effectLst/>
      </xdr:spPr>
    </xdr:cxnSp>
    <xdr:clientData/>
  </xdr:twoCellAnchor>
  <xdr:twoCellAnchor>
    <xdr:from>
      <xdr:col>12</xdr:col>
      <xdr:colOff>109220</xdr:colOff>
      <xdr:row>78</xdr:row>
      <xdr:rowOff>83185</xdr:rowOff>
    </xdr:from>
    <xdr:to>
      <xdr:col>12</xdr:col>
      <xdr:colOff>199390</xdr:colOff>
      <xdr:row>91</xdr:row>
      <xdr:rowOff>21590</xdr:rowOff>
    </xdr:to>
    <xdr:cxnSp macro="">
      <xdr:nvCxnSpPr>
        <xdr:cNvPr id="11" name="Straight Connector 155"/>
        <xdr:cNvCxnSpPr>
          <a:stCxn id="15" idx="2"/>
          <a:endCxn id="3" idx="0"/>
          <a:extLst>
            <a:ext uri="smNativeData">
              <pm:smNativeData xmlns:pm="smNativeData" val="SMDATA_14_nJsLaBMAAAAlAAAADQAAAI0AAAAAkAAAAEgAAACQAAAASAAAAAAAAAAAAAAAAAAAAAEAAABQAAAAAAAAAAAA4D8AAAAAAADgPwAAAAAAAOA/AAAAAAAA4D8AAAAAAADgPwAAAAAAAOA/AAAAAAAA4D8AAAAAAADgPwAAAAAAAOA/AAAAAAAA4D8CAAAAjAAAAAAAAAAAAAAA////AAAAAAAAAAAAAAAAAAAAAAAAAAAAAAAAAAAAAAAAAAAAeAAAAAEAAABAAAAAAAAAAAAAAABaAAAAAAAAAAAAAAAAAAAAAAAAAAAAAAAAAAAAAAAAAAAAAAAAAAAAAAAAAAAAAAAAAAAAAAAAAAAAAAAAAAAAAAAAAAAAAAAAAAAAFAAAADwAAAABAAAAAAAAAP/AAAAt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0iQlM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E4AAAAMAAAApwEuAVsAAAAMAAAAcQAnAskxAACbaAAAjgAAAFgPAAAAAAAAMAAAABQAAAAAAAAAAAD//wAAAQAAAP//AAABAA=="/>
            </a:ext>
          </a:extLst>
        </xdr:cNvCxnSpPr>
      </xdr:nvCxnSpPr>
      <xdr:spPr>
        <a:xfrm rot="5400000">
          <a:off x="8093075" y="17004665"/>
          <a:ext cx="90170" cy="2494280"/>
        </a:xfrm>
        <a:prstGeom prst="straightConnector1">
          <a:avLst/>
        </a:prstGeom>
        <a:noFill/>
        <a:ln w="28575" cap="flat">
          <a:solidFill>
            <a:srgbClr val="FFC000"/>
          </a:solidFill>
          <a:prstDash val="solid"/>
          <a:headEnd type="none" w="med" len="med"/>
          <a:tailEnd type="none" w="med" len="med"/>
        </a:ln>
        <a:effectLst/>
      </xdr:spPr>
    </xdr:cxnSp>
    <xdr:clientData/>
  </xdr:twoCellAnchor>
  <xdr:twoCellAnchor>
    <xdr:from>
      <xdr:col>15</xdr:col>
      <xdr:colOff>35560</xdr:colOff>
      <xdr:row>11</xdr:row>
      <xdr:rowOff>8890</xdr:rowOff>
    </xdr:from>
    <xdr:to>
      <xdr:col>19</xdr:col>
      <xdr:colOff>17780</xdr:colOff>
      <xdr:row>100</xdr:row>
      <xdr:rowOff>152400</xdr:rowOff>
    </xdr:to>
    <xdr:sp macro="" fLocksText="0">
      <xdr:nvSpPr>
        <xdr:cNvPr id="10" name="Pentagon 161"/>
        <xdr:cNvSpPr>
          <a:extLst>
            <a:ext uri="smNativeData">
              <pm:smNativeData xmlns:pm="smNativeData" val="SMDATA_14_nJsLaBMAAAAlAAAA2gAAAI0AAAAAkAAAAEgAAACQAAAASAAAAAAAAAAAAAAAAAAAAAEAAABQAAAAAAAAAAAA4D8AAAAAAADgPwAAAAAAAOA/AAAAAAAA4D8AAAAAAADgPwAAAAAAAOA/AAAAAAAA4D8AAAAAAADgPwAAAAAAAOA/AAAAAAAA4D8CAAAAjAAAAAEAAAAAAAAAcDCgAAAAAABRAAAAAAAAAAAAAAAAAAAAAAAAAAAAAAAAAAAAZAAAAAEAAABAAAAAAAAAAAAAAAAAAAAAAAAAAAAAAAAAAAAAAAAAAAAAAAAAAAAAAAAAAAAAAAAAAAAAAAAAAAAAAAAAAAAAAAAAAAAAAAAAAAAAAAAAAAAAAAAAAAAAFAAAADwAAAABAAAAAAAAAHAwo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EJQNzQ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AsAAAAPAAAALQBzAGQAAAATAAAAGwM6AH83AABdDQAAqAcAAEF2AAAAAAAAMAAAABQAAAAAAAAAAAD//wAAAQAAAP//AAABAA=="/>
            </a:ext>
          </a:extLst>
        </xdr:cNvSpPr>
      </xdr:nvSpPr>
      <xdr:spPr>
        <a:xfrm rot="5400000">
          <a:off x="9021445" y="2172335"/>
          <a:ext cx="1244600" cy="19223355"/>
        </a:xfrm>
        <a:prstGeom prst="homePlate">
          <a:avLst>
            <a:gd name="adj" fmla="val 50000"/>
          </a:avLst>
        </a:prstGeom>
        <a:solidFill>
          <a:srgbClr val="7030A0">
            <a:alpha val="19000"/>
          </a:srgbClr>
        </a:solidFill>
        <a:ln w="25400" cap="flat">
          <a:solidFill>
            <a:srgbClr val="7030A0"/>
          </a:solidFill>
          <a:prstDash val="solid"/>
          <a:headEnd type="none" w="med" len="med"/>
          <a:tailEnd type="none" w="med" len="med"/>
        </a:ln>
        <a:effectLst/>
      </xdr:spPr>
    </xdr:sp>
    <xdr:clientData/>
  </xdr:twoCellAnchor>
  <xdr:twoCellAnchor editAs="oneCell">
    <xdr:from>
      <xdr:col>13</xdr:col>
      <xdr:colOff>93345</xdr:colOff>
      <xdr:row>81</xdr:row>
      <xdr:rowOff>50165</xdr:rowOff>
    </xdr:from>
    <xdr:to>
      <xdr:col>20</xdr:col>
      <xdr:colOff>163195</xdr:colOff>
      <xdr:row>87</xdr:row>
      <xdr:rowOff>170815</xdr:rowOff>
    </xdr:to>
    <xdr:sp macro="" fLocksText="0">
      <xdr:nvSpPr>
        <xdr:cNvPr id="9" name="TextBox 135"/>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xjIH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FEAAAANAAAABgEvAVcAAAAUAAAAewMSAvgzAAAObAAABQ4AAPwHAAABAAAAMAAAABQAAAAAAAAAAAD//wAAAQAAAP//AAABAA=="/>
            </a:ext>
          </a:extLst>
        </xdr:cNvSpPr>
      </xdr:nvSpPr>
      <xdr:spPr>
        <a:xfrm>
          <a:off x="8448040" y="17565370"/>
          <a:ext cx="2279015" cy="1297940"/>
        </a:xfrm>
        <a:prstGeom prst="rect">
          <a:avLst/>
        </a:prstGeom>
        <a:solidFill>
          <a:srgbClr val="FFFFFF"/>
        </a:solidFill>
        <a:ln w="25400" cap="flat">
          <a:solidFill>
            <a:srgbClr val="FFC00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4A462B"/>
              </a:solidFill>
              <a:latin typeface="Calibri" pitchFamily="2" charset="0"/>
              <a:ea typeface="Basic Sans" charset="0"/>
              <a:cs typeface="Basic Sans" charset="0"/>
            </a:rPr>
            <a:t>THIS CELL CALCULATES THE TOTAL PERSON-MONTHS FOR TASK Z.5 FUNDED BY THE PROJECT,  BY ADDING  TOGETHER THE PERSON-MONTHS OF ALL THE RESEARCHERS INVOLVED IN THIS TASK</a:t>
          </a:r>
          <a:br/>
          <a:r>
            <a:rPr lang="en-us" sz="1100" b="0" i="0" u="none" strike="noStrike" kern="100" baseline="0">
              <a:solidFill>
                <a:srgbClr val="4A462B"/>
              </a:solidFill>
              <a:latin typeface="Calibri" pitchFamily="2" charset="0"/>
              <a:ea typeface="Basic Sans" charset="0"/>
              <a:cs typeface="Basic Sans" charset="0"/>
            </a:rPr>
            <a:t>(sums line)</a:t>
          </a:r>
        </a:p>
      </xdr:txBody>
    </xdr:sp>
    <xdr:clientData/>
  </xdr:twoCellAnchor>
  <xdr:twoCellAnchor editAs="oneCell">
    <xdr:from>
      <xdr:col>14</xdr:col>
      <xdr:colOff>11430</xdr:colOff>
      <xdr:row>101</xdr:row>
      <xdr:rowOff>83820</xdr:rowOff>
    </xdr:from>
    <xdr:to>
      <xdr:col>20</xdr:col>
      <xdr:colOff>187325</xdr:colOff>
      <xdr:row>104</xdr:row>
      <xdr:rowOff>104140</xdr:rowOff>
    </xdr:to>
    <xdr:sp macro="" fLocksText="0">
      <xdr:nvSpPr>
        <xdr:cNvPr id="8" name="TextBox 162"/>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HAwo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CIvPjw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GUAAAAOAAAAtQElAGgAAAAUAAAAHwJgAmg1AABnhAAAuwwAAL8DAAABAAAAMAAAABQAAAAAAAAAAAD//wAAAQAAAP//AAABAA=="/>
            </a:ext>
          </a:extLst>
        </xdr:cNvSpPr>
      </xdr:nvSpPr>
      <xdr:spPr>
        <a:xfrm>
          <a:off x="8681720" y="21523325"/>
          <a:ext cx="2069465" cy="608965"/>
        </a:xfrm>
        <a:prstGeom prst="rect">
          <a:avLst/>
        </a:prstGeom>
        <a:solidFill>
          <a:srgbClr val="FFFFFF"/>
        </a:solidFill>
        <a:ln w="25400" cap="flat">
          <a:solidFill>
            <a:srgbClr val="7030A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7030A0"/>
              </a:solidFill>
              <a:latin typeface="Calibri" pitchFamily="2" charset="0"/>
              <a:ea typeface="Basic Sans" charset="0"/>
              <a:cs typeface="Basic Sans" charset="0"/>
            </a:rPr>
            <a:t>THE VERTICAL READING OF THE TABLE INDICATES THE INTENSITY OF THE RESEARCHER'S WORK</a:t>
          </a:r>
        </a:p>
      </xdr:txBody>
    </xdr:sp>
    <xdr:clientData/>
  </xdr:twoCellAnchor>
  <xdr:twoCellAnchor>
    <xdr:from>
      <xdr:col>1</xdr:col>
      <xdr:colOff>1905</xdr:colOff>
      <xdr:row>35</xdr:row>
      <xdr:rowOff>171450</xdr:rowOff>
    </xdr:from>
    <xdr:to>
      <xdr:col>28</xdr:col>
      <xdr:colOff>45085</xdr:colOff>
      <xdr:row>39</xdr:row>
      <xdr:rowOff>34925</xdr:rowOff>
    </xdr:to>
    <xdr:sp macro="" fLocksText="0">
      <xdr:nvSpPr>
        <xdr:cNvPr id="7" name="Pentagon 163"/>
        <xdr:cNvSpPr>
          <a:extLst>
            <a:ext uri="smNativeData">
              <pm:smNativeData xmlns:pm="smNativeData" val="SMDATA_14_nJsLaBMAAAAlAAAA2gAAAI0AAAAAkAAAAEgAAACQAAAASAAAAAAAAAAAAAAAAAAAAAEAAABQAAAAqvJNmigO7z8AAAAAAADgPwAAAAAAAOA/AAAAAAAA4D8AAAAAAADgPwAAAAAAAOA/AAAAAAAA4D8AAAAAAADgPwAAAAAAAOA/AAAAAAAA4D8CAAAAjAAAAAEAAAAAAAAAcDCgAAAAAABRAAAAAAAAAAAAAAAAAAAAAAAAAAAAAAAAAAAAZAAAAAEAAABAAAAAAAAAAAAAAAAAAAAAAAAAAAAAAAAAAAAAAAAAAAAAAAAAAAAAAAAAAAAAAAAAAAAAAAAAAAAAAAAAAAAAAAAAAAAAAAAAAAAAAAAAAAAAAAAAAAAAFAAAADwAAAABAAAAAAAAAHAwo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HQ9IjA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MAAAABAAAAbgMBACcAAAAcAAAAswDoAS8NAACuMQAAtT4AABUEAAAAAAAAMAAAABQAAAAAAAAAAAD//wAAAQAAAP//AAABAA=="/>
            </a:ext>
          </a:extLst>
        </xdr:cNvSpPr>
      </xdr:nvSpPr>
      <xdr:spPr>
        <a:xfrm>
          <a:off x="2143125" y="8075930"/>
          <a:ext cx="10193655" cy="663575"/>
        </a:xfrm>
        <a:prstGeom prst="homePlate">
          <a:avLst>
            <a:gd name="adj" fmla="val 45350"/>
          </a:avLst>
        </a:prstGeom>
        <a:solidFill>
          <a:srgbClr val="7030A0">
            <a:alpha val="19000"/>
          </a:srgbClr>
        </a:solidFill>
        <a:ln w="25400" cap="flat">
          <a:solidFill>
            <a:srgbClr val="7030A0"/>
          </a:solidFill>
          <a:prstDash val="solid"/>
          <a:headEnd type="none" w="med" len="med"/>
          <a:tailEnd type="none" w="med" len="med"/>
        </a:ln>
        <a:effectLst/>
      </xdr:spPr>
    </xdr:sp>
    <xdr:clientData/>
  </xdr:twoCellAnchor>
  <xdr:twoCellAnchor editAs="oneCell">
    <xdr:from>
      <xdr:col>30</xdr:col>
      <xdr:colOff>46355</xdr:colOff>
      <xdr:row>35</xdr:row>
      <xdr:rowOff>109855</xdr:rowOff>
    </xdr:from>
    <xdr:to>
      <xdr:col>58</xdr:col>
      <xdr:colOff>73660</xdr:colOff>
      <xdr:row>38</xdr:row>
      <xdr:rowOff>118745</xdr:rowOff>
    </xdr:to>
    <xdr:sp macro="" fLocksText="0">
      <xdr:nvSpPr>
        <xdr:cNvPr id="6" name="TextBox 164"/>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HAwo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GMgcj0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MAAAAeAAAAMgL2ASYAAAA6AAAAYAIdAxBNAABNMQAAdxAAAL8DAAABAAAAMAAAABQAAAAAAAAAAAD//wAAAQAAAP//AAABAA=="/>
            </a:ext>
          </a:extLst>
        </xdr:cNvSpPr>
      </xdr:nvSpPr>
      <xdr:spPr>
        <a:xfrm>
          <a:off x="12527280" y="8014335"/>
          <a:ext cx="2676525" cy="608965"/>
        </a:xfrm>
        <a:prstGeom prst="rect">
          <a:avLst/>
        </a:prstGeom>
        <a:solidFill>
          <a:srgbClr val="FFFFFF"/>
        </a:solidFill>
        <a:ln w="25400" cap="flat">
          <a:solidFill>
            <a:srgbClr val="7030A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7030A0"/>
              </a:solidFill>
              <a:latin typeface="Calibri" pitchFamily="2" charset="0"/>
              <a:ea typeface="Basic Sans" charset="0"/>
              <a:cs typeface="Basic Sans" charset="0"/>
            </a:rPr>
            <a:t>READING THIS PART OF THE TABLE HORIZONTALLY SHOWS THE DISTRIBUTION OF TASKS BETWEEN RESEARCHERS</a:t>
          </a:r>
        </a:p>
      </xdr:txBody>
    </xdr:sp>
    <xdr:clientData/>
  </xdr:twoCellAnchor>
  <xdr:twoCellAnchor>
    <xdr:from>
      <xdr:col>26</xdr:col>
      <xdr:colOff>60325</xdr:colOff>
      <xdr:row>40</xdr:row>
      <xdr:rowOff>165100</xdr:rowOff>
    </xdr:from>
    <xdr:to>
      <xdr:col>73</xdr:col>
      <xdr:colOff>168275</xdr:colOff>
      <xdr:row>47</xdr:row>
      <xdr:rowOff>50800</xdr:rowOff>
    </xdr:to>
    <xdr:sp macro="" fLocksText="0">
      <xdr:nvSpPr>
        <xdr:cNvPr id="5" name="Pentagon 165"/>
        <xdr:cNvSpPr>
          <a:extLst>
            <a:ext uri="smNativeData">
              <pm:smNativeData xmlns:pm="smNativeData" val="SMDATA_14_nJsLaBMAAAAlAAAA2gAAAI0AAAAAkAAAAEgAAACQAAAASAAAAAAAAAAAAAAAAAAAAAEAAABQAAAA9pw1wKdZ6z8AAAAAAADgPwAAAAAAAOA/AAAAAAAA4D8AAAAAAADgPwAAAAAAAOA/AAAAAAAA4D8AAAAAAADgPwAAAAAAAOA/AAAAAAAA4D8CAAAAjAAAAAEAAAAAAAAAcDCgAAAAAABRAAAAAAAAAAAAAAAAAAAAAAAAAAAAAAAAAAAAZAAAAAEAAABAAAAAAAAAAAAAAAAAAAAAAAAAAAAAAAAAAAAAAAAAAAAAAAAAAAAAAAAAAAAAAAAAAAAAAAAAAAAAAAAAAAAAAAAAAAAAAAAAAAAAAAAAAAAAAAAAAAAAFAAAADwAAAABAAAAAAAAAHAwo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AuNyI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gAAAAaAAAATQONAi8AAABJAAAABAEUAdJKAADLNwAARx8AACkJAAAAAAAAMAAAABQAAAAAAAAAAAD//wAAAQAAAP//AAABAA=="/>
            </a:ext>
          </a:extLst>
        </xdr:cNvSpPr>
      </xdr:nvSpPr>
      <xdr:spPr>
        <a:xfrm>
          <a:off x="12162790" y="9069705"/>
          <a:ext cx="5084445" cy="1489075"/>
        </a:xfrm>
        <a:prstGeom prst="homePlate">
          <a:avLst>
            <a:gd name="adj" fmla="val 49615"/>
          </a:avLst>
        </a:prstGeom>
        <a:solidFill>
          <a:srgbClr val="7030A0">
            <a:alpha val="19000"/>
          </a:srgbClr>
        </a:solidFill>
        <a:ln w="25400" cap="flat">
          <a:solidFill>
            <a:srgbClr val="7030A0"/>
          </a:solidFill>
          <a:prstDash val="solid"/>
          <a:headEnd type="none" w="med" len="med"/>
          <a:tailEnd type="none" w="med" len="med"/>
        </a:ln>
        <a:effectLst/>
      </xdr:spPr>
    </xdr:sp>
    <xdr:clientData/>
  </xdr:twoCellAnchor>
  <xdr:twoCellAnchor editAs="oneCell">
    <xdr:from>
      <xdr:col>73</xdr:col>
      <xdr:colOff>241300</xdr:colOff>
      <xdr:row>42</xdr:row>
      <xdr:rowOff>76200</xdr:rowOff>
    </xdr:from>
    <xdr:to>
      <xdr:col>76</xdr:col>
      <xdr:colOff>438150</xdr:colOff>
      <xdr:row>45</xdr:row>
      <xdr:rowOff>254000</xdr:rowOff>
    </xdr:to>
    <xdr:sp macro="" fLocksText="0">
      <xdr:nvSpPr>
        <xdr:cNvPr id="4" name="TextBox 167"/>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HAwo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GZ0LmM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CoAAABJAAAAhgGMAS0AAABMAAAAigLPAoxqAAC1OQAAuwwAAM4EAAABAAAAMAAAABQAAAAAAAAAAAD//wAAAQAAAP//AAABAA=="/>
            </a:ext>
          </a:extLst>
        </xdr:cNvSpPr>
      </xdr:nvSpPr>
      <xdr:spPr>
        <a:xfrm>
          <a:off x="17320260" y="9380855"/>
          <a:ext cx="2069465" cy="781050"/>
        </a:xfrm>
        <a:prstGeom prst="rect">
          <a:avLst/>
        </a:prstGeom>
        <a:solidFill>
          <a:srgbClr val="FFFFFF"/>
        </a:solidFill>
        <a:ln w="25400" cap="flat">
          <a:solidFill>
            <a:srgbClr val="7030A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7030A0"/>
              </a:solidFill>
              <a:latin typeface="Calibri" pitchFamily="2" charset="0"/>
              <a:ea typeface="Basic Sans" charset="0"/>
              <a:cs typeface="Basic Sans" charset="0"/>
            </a:rPr>
            <a:t>READING THIS PART OF THE  TABLE HORIZONTALLY PROVIDES A TIMETABLE OF</a:t>
          </a:r>
        </a:p>
        <a:p>
          <a:pPr algn="ctr" defTabSz="360045" rtl="0">
            <a:defRPr sz="1000"/>
          </a:pPr>
          <a:r>
            <a:rPr lang="en-us" sz="1100" b="0" i="0" u="none" strike="noStrike" kern="100" baseline="0">
              <a:solidFill>
                <a:srgbClr val="7030A0"/>
              </a:solidFill>
              <a:latin typeface="Calibri" pitchFamily="2" charset="0"/>
              <a:ea typeface="Basic Sans" charset="0"/>
              <a:cs typeface="Basic Sans" charset="0"/>
            </a:rPr>
            <a:t>TASKS AND DELIVERABLES</a:t>
          </a:r>
        </a:p>
      </xdr:txBody>
    </xdr:sp>
    <xdr:clientData/>
  </xdr:twoCellAnchor>
  <xdr:twoCellAnchor editAs="oneCell">
    <xdr:from>
      <xdr:col>9</xdr:col>
      <xdr:colOff>20955</xdr:colOff>
      <xdr:row>91</xdr:row>
      <xdr:rowOff>21590</xdr:rowOff>
    </xdr:from>
    <xdr:to>
      <xdr:col>15</xdr:col>
      <xdr:colOff>141605</xdr:colOff>
      <xdr:row>95</xdr:row>
      <xdr:rowOff>190500</xdr:rowOff>
    </xdr:to>
    <xdr:sp macro="" fLocksText="0">
      <xdr:nvSpPr>
        <xdr:cNvPr id="3" name="TextBox 159"/>
        <xdr:cNvSpPr>
          <a:extLst>
            <a:ext uri="smNativeData">
              <pm:smNativeData xmlns:pm="smNativeData" val="SMDATA_14_nJsLaBMAAAAlAAAAZAAAAM0AAAAAkAAAAEgAAACQAAAASAAAAAAAAAAAAAAAAAAAAAEAAABQAAAAAAAAAAAA4D8AAAAAAADgPwAAAAAAAOA/AAAAAAAA4D8AAAAAAADgPwAAAAAAAOA/AAAAAAAA4D8AAAAAAADgPwAAAAAAAOA/AAAAAAAA4D8CAAAAjAAAAAEAAAAAAAAA////AAAAAAAAAAAAAAAAAAAAAAAAAAAAAAAAAAAAAAAAAAAAZAAAAAEAAABAAAAAAAAAAAAAAAAAAAAAAAAAAAAAAAAAAAAAAAAAAAAAAAAAAAAAAAAAAAAAAAAAAAAAAAAAAAAAAAAAAAAAAAAAAAAAAAAAAAAAAAAAAAAAAAAAAAAAFAAAADwAAAABAAAAAAAAAP/AAAAoAAAAAQAAABQAAAAUAAAAFAAAAAEAAAAAAAAAZAAAAGQAAAAAAAAAZAAAAGQAAAAVAAAAYAAAAAAAAAAAAAAADwAAACADAAAAAAAAAAAAAAEAAACgMgAAVgcAAKr4//8BAAAAf39/AAEAAABkAAAAAAAAABQAAABAHwAAAAAAACYAAAAAAAAAwOD//wAAAAAmAAAAZAAAABYAAABMAAAAAAAAAAAAAAAEAAAAAAAAAAEAAAB/f38AAAAAACgAAAAoAAAAZAAAAGQAAAAAAAAAzMzMAAAAAABQAAAAUAAAAGQAAABkAAAAAAAAABcAAAAUAAAAAAAAAAAAAAD/fwAA/38AAAAAAAAJAAAABAAAAD48eDEeAAAAaAAAAAAAAAAAAAAAAAAAAAAAAAAAAAAAECcAABAnAAAAAAAAAAAAAAAAAAAAAAAAAAAAAAAAAAAAAAAAAAAAABQAAAAAAAAAwMD/AAAAAABkAAAAMgAAAAAAAABkAAAAAAAAAH9/fwAKAAAAIgAAABgAAAAAAAAAAAAAAAAAAAAAAAAAAAAAAAAAAAAkAAAAJAAAAAAAAAAHAAAAAAAAAAAAAAAAAAAAAAAAAAAAAAAAAAAAf39/ACUAAABYAAAAAAAAAAAAAAAAAAAAAAAAAAAAAAAAAAAAAAAAAAAAAAAAAAAAAAAAAAAAAAA/AAAAAAAAAKCGAQAAAAAAAAAAAAAAAAAMAAAAAQAAAAAAAAAAAAAAAAAAACEAAAAwAAAALAAAAFsAAAAJAAAAcQBEAF8AAAAPAAAA4gPLAWsrAADzdwAAuwwAAN4FAAABAAAAMAAAABQAAAAAAAAAAAD//wAAAQAAAP//AAABAA=="/>
            </a:ext>
          </a:extLst>
        </xdr:cNvSpPr>
      </xdr:nvSpPr>
      <xdr:spPr>
        <a:xfrm>
          <a:off x="7058025" y="19498945"/>
          <a:ext cx="2069465" cy="953770"/>
        </a:xfrm>
        <a:prstGeom prst="rect">
          <a:avLst/>
        </a:prstGeom>
        <a:solidFill>
          <a:srgbClr val="FFFFFF"/>
        </a:solidFill>
        <a:ln w="25400" cap="flat">
          <a:solidFill>
            <a:srgbClr val="FFC000"/>
          </a:solidFill>
          <a:prstDash val="solid"/>
          <a:headEnd type="none" w="med" len="med"/>
          <a:tailEnd type="none" w="med" len="med"/>
        </a:ln>
        <a:effectLst/>
      </xdr:spPr>
      <xdr:txBody>
        <a:bodyPr spcFirstLastPara="1" vertOverflow="clip" horzOverflow="clip" wrap="square" lIns="91440" tIns="45720" rIns="91440" bIns="45720" anchor="t" upright="1"/>
        <a:lstStyle/>
        <a:p>
          <a:pPr algn="ctr" defTabSz="360045" rtl="0">
            <a:defRPr sz="1000"/>
          </a:pPr>
          <a:r>
            <a:rPr lang="en-us" sz="1100" b="0" i="0" u="none" strike="noStrike" kern="100" baseline="0">
              <a:solidFill>
                <a:srgbClr val="4A462B"/>
              </a:solidFill>
              <a:latin typeface="Calibri" pitchFamily="2" charset="0"/>
              <a:ea typeface="Basic Sans" charset="0"/>
              <a:cs typeface="Basic Sans" charset="0"/>
            </a:rPr>
            <a:t>THIS CELL CALCULATES THE TOTAL PERSON-MONTHS OF ALL THE RESEARCHERS FOR ALL THE TASKS FUNDED BY THE PROJECT</a:t>
          </a:r>
        </a:p>
        <a:p>
          <a:pPr algn="ctr" defTabSz="360045" rtl="0">
            <a:defRPr sz="1000"/>
          </a:pPr>
          <a:r>
            <a:rPr lang="en-us" sz="1100" b="0" i="0" u="none" strike="noStrike" kern="100" baseline="0">
              <a:solidFill>
                <a:srgbClr val="4A462B"/>
              </a:solidFill>
              <a:latin typeface="Calibri" pitchFamily="2" charset="0"/>
              <a:ea typeface="Basic Sans" charset="0"/>
              <a:cs typeface="Basic Sans" charset="0"/>
            </a:rPr>
            <a:t>(sums line)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Basic Roman"/>
        <a:cs typeface="Basic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_rels/sheet1.xml.rels><?xml version="1.0" encoding="UTF-8" standalone="yes" ?>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
<Relationships xmlns="http://schemas.openxmlformats.org/package/2006/relationships"><Relationship Id="rId1" Type="http://schemas.openxmlformats.org/officeDocument/2006/relationships/drawing" Target="../drawings/drawing2.xml"/><Relationship Id="rId2" Type="http://schemas.openxmlformats.org/officeDocument/2006/relationships/comments" Target="../comments1.xml"/><Relationship Id="rId3" Type="http://schemas.openxmlformats.org/officeDocument/2006/relationships/vmlDrawing" Target="../drawings/vmlDrawing1.vml"/></Relationships>
</file>

<file path=xl/worksheets/_rels/sheet3.xml.rels><?xml version="1.0" encoding="UTF-8" standalone="yes" ?>
<Relationships xmlns="http://schemas.openxmlformats.org/package/2006/relationships"><Relationship Id="rId1" Type="http://schemas.openxmlformats.org/officeDocument/2006/relationships/hyperlink" Target="mailto:DFR@RMA Call (2026)" TargetMode="External"/><Relationship Id="rId2" Type="http://schemas.openxmlformats.org/officeDocument/2006/relationships/comments" Target="../comments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dimension ref="N52:Y68"/>
  <sheetViews>
    <sheetView view="normal" topLeftCell="A37" workbookViewId="0">
      <selection activeCell="W57" sqref="W57"/>
    </sheetView>
  </sheetViews>
  <sheetFormatPr defaultRowHeight="15.45"/>
  <sheetData>
    <row r="52" spans="14:23">
      <c r="N52" s="62"/>
      <c r="O52" s="63"/>
      <c r="P52" s="63"/>
      <c r="Q52" s="64"/>
      <c r="R52" s="64" t="s">
        <v>0</v>
      </c>
      <c r="S52" s="64"/>
      <c r="T52" s="64"/>
      <c r="U52" s="64"/>
      <c r="V52" s="65"/>
      <c r="W52" s="66"/>
    </row>
    <row r="53" spans="14:23">
      <c r="N53" s="67"/>
      <c r="O53" s="68"/>
      <c r="P53" s="68"/>
      <c r="Q53" s="68"/>
      <c r="R53" s="68"/>
      <c r="S53" s="68"/>
      <c r="T53" s="68"/>
      <c r="U53" s="68"/>
      <c r="V53" s="68"/>
      <c r="W53" s="69"/>
    </row>
    <row r="54" spans="14:23">
      <c r="N54" s="53"/>
      <c r="O54" s="54"/>
      <c r="P54" s="54"/>
      <c r="Q54" s="54"/>
      <c r="R54" s="54"/>
      <c r="S54" s="54"/>
      <c r="T54" s="54"/>
      <c r="U54" s="54"/>
      <c r="V54" s="54"/>
      <c r="W54" s="55"/>
    </row>
    <row r="55" spans="14:23">
      <c r="N55" s="53"/>
      <c r="O55" s="54"/>
      <c r="P55" s="54"/>
      <c r="Q55" s="54"/>
      <c r="R55" s="54"/>
      <c r="S55" s="54"/>
      <c r="T55" s="54"/>
      <c r="U55" s="56" t="s">
        <v>1</v>
      </c>
      <c r="V55" s="60" t="n">
        <v>4</v>
      </c>
      <c r="W55" s="55" t="s">
        <v>2</v>
      </c>
    </row>
    <row r="56" spans="14:23">
      <c r="N56" s="53"/>
      <c r="O56" s="54"/>
      <c r="P56" s="54"/>
      <c r="Q56" s="54"/>
      <c r="R56" s="54"/>
      <c r="S56" s="54"/>
      <c r="T56" s="54"/>
      <c r="U56" s="54"/>
      <c r="V56" s="54"/>
      <c r="W56" s="55"/>
    </row>
    <row r="57" spans="14:23">
      <c r="N57" s="53"/>
      <c r="O57" s="54"/>
      <c r="P57" s="54"/>
      <c r="Q57" s="54"/>
      <c r="R57" s="54"/>
      <c r="S57" s="54"/>
      <c r="T57" s="54"/>
      <c r="U57" s="56" t="s">
        <v>3</v>
      </c>
      <c r="V57" s="60" t="n">
        <v>80</v>
      </c>
      <c r="W57" s="55" t="s">
        <v>2</v>
      </c>
    </row>
    <row r="58" spans="14:25">
      <c r="N58" s="53"/>
      <c r="O58" s="54"/>
      <c r="P58" s="54"/>
      <c r="Q58" s="54"/>
      <c r="R58" s="54"/>
      <c r="S58" s="54"/>
      <c r="T58" s="54"/>
      <c r="U58" s="54"/>
      <c r="V58" s="54"/>
      <c r="W58" s="55"/>
      <c r="Y58" s="3"/>
    </row>
    <row r="59" spans="14:23">
      <c r="N59" s="53"/>
      <c r="O59" s="54"/>
      <c r="P59" s="54"/>
      <c r="Q59" s="54"/>
      <c r="R59" s="54"/>
      <c r="S59" s="54"/>
      <c r="T59" s="54"/>
      <c r="U59" s="56" t="s">
        <v>4</v>
      </c>
      <c r="V59" s="60">
        <f>V57/100*V55</f>
        <v>3.20000000000000018</v>
      </c>
      <c r="W59" s="55"/>
    </row>
    <row r="60" spans="14:23">
      <c r="N60" s="57"/>
      <c r="O60" s="58"/>
      <c r="P60" s="58"/>
      <c r="Q60" s="58"/>
      <c r="R60" s="58"/>
      <c r="S60" s="58"/>
      <c r="T60" s="58"/>
      <c r="U60" s="58"/>
      <c r="V60" s="58"/>
      <c r="W60" s="59"/>
    </row>
    <row r="63" spans="16:16">
      <c r="P63" s="3"/>
    </row>
    <row r="68" spans="18:18">
      <c r="R68" s="3"/>
    </row>
  </sheetData>
  <printOptions>
    <extLst>
      <ext uri="smNativeData">
        <pm:pageFlags xmlns:pm="smNativeData" id="1745591196" printRowHead="0" printColHead="0" printHeadLine="0" printFootLine="0" autoHeightHeader="0" autoHeightFooter="0" fitToPageBoth="0"/>
      </ext>
    </extLst>
  </printOptions>
  <pageMargins left="0.250000" right="0.250000" top="0.750000" bottom="0.750000" header="0.300000" footer="0.300000"/>
  <pageSetup paperSize="8" fitToWidth="0" fitToHeight="1" orientation="landscape"/>
  <headerFooter>
    <extLst>
      <ext uri="smNativeData">
        <pm:header xmlns:pm="smNativeData" id="1745591196" l="56" r="56" t="56" b="56" borderId="0" fillId="0" vertical="0"/>
        <pm:footer xmlns:pm="smNativeData" id="1745591196" l="56" r="56" t="56" b="56" borderId="0" fillId="0" vertical="2"/>
      </ext>
    </extLst>
  </headerFooter>
  <drawing r:id="rId1"/>
  <extLst>
    <ext uri="smNativeData">
      <pm:sheetPrefs xmlns:pm="smNativeData" day="1745591196"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dimension ref="B7:BT78"/>
  <sheetViews>
    <sheetView view="normal" topLeftCell="A9" zoomScale="85" workbookViewId="0">
      <selection activeCell="Q10" sqref="Q10"/>
    </sheetView>
  </sheetViews>
  <sheetFormatPr defaultRowHeight="15.45"/>
  <cols>
    <col min="1" max="1" width="30.107143" customWidth="1"/>
    <col min="2" max="2" width="31.437500" customWidth="1"/>
    <col min="3" max="3" width="8.107143" customWidth="1"/>
    <col min="4" max="4" width="7.107143" customWidth="1"/>
    <col min="5" max="12" width="4.437500" customWidth="1"/>
    <col min="13" max="13" width="5.214286" customWidth="1"/>
    <col min="14" max="23" width="4.437500" customWidth="1"/>
    <col min="24" max="24" width="5.660714" customWidth="1"/>
    <col min="25" max="72" width="1.330357" customWidth="1"/>
  </cols>
  <sheetData>
    <row r="7" spans="2:72">
      <c r="B7" s="19" t="s">
        <v>5</v>
      </c>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row>
    <row r="8" spans="2:72">
      <c r="B8" s="18" t="s">
        <v>6</v>
      </c>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row>
    <row r="9" spans="2:72">
      <c r="B9" s="18" t="s">
        <v>7</v>
      </c>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row>
    <row r="10" spans="2:72">
      <c r="B10" t="s">
        <v>8</v>
      </c>
      <c r="Y10" s="20" t="n">
        <v>1</v>
      </c>
      <c r="Z10" s="6" t="n">
        <v>2</v>
      </c>
      <c r="AA10" s="6" t="n">
        <v>3</v>
      </c>
      <c r="AB10" s="6" t="n">
        <v>4</v>
      </c>
      <c r="AC10" s="6" t="n">
        <v>5</v>
      </c>
      <c r="AD10" s="6" t="n">
        <v>6</v>
      </c>
      <c r="AE10" s="6" t="n">
        <v>7</v>
      </c>
      <c r="AF10" s="6" t="n">
        <v>8</v>
      </c>
      <c r="AG10" s="6" t="n">
        <v>9</v>
      </c>
      <c r="AH10" s="6" t="n">
        <v>10</v>
      </c>
      <c r="AI10" s="6" t="n">
        <v>11</v>
      </c>
      <c r="AJ10" s="6" t="n">
        <v>12</v>
      </c>
      <c r="AK10" s="6" t="n">
        <v>13</v>
      </c>
      <c r="AL10" s="6" t="n">
        <v>14</v>
      </c>
      <c r="AM10" s="6" t="n">
        <v>15</v>
      </c>
      <c r="AN10" s="6" t="n">
        <v>16</v>
      </c>
      <c r="AO10" s="6" t="n">
        <v>17</v>
      </c>
      <c r="AP10" s="6" t="n">
        <v>18</v>
      </c>
      <c r="AQ10" s="6" t="n">
        <v>19</v>
      </c>
      <c r="AR10" s="6" t="n">
        <v>20</v>
      </c>
      <c r="AS10" s="6" t="n">
        <v>21</v>
      </c>
      <c r="AT10" s="6" t="n">
        <v>22</v>
      </c>
      <c r="AU10" s="6" t="n">
        <v>23</v>
      </c>
      <c r="AV10" s="6" t="n">
        <v>24</v>
      </c>
      <c r="AW10" s="6" t="n">
        <v>25</v>
      </c>
      <c r="AX10" s="6" t="n">
        <v>26</v>
      </c>
      <c r="AY10" s="6" t="n">
        <v>27</v>
      </c>
      <c r="AZ10" s="6" t="n">
        <v>28</v>
      </c>
      <c r="BA10" s="6" t="n">
        <v>29</v>
      </c>
      <c r="BB10" s="6" t="n">
        <v>30</v>
      </c>
      <c r="BC10" s="6" t="n">
        <v>31</v>
      </c>
      <c r="BD10" s="6" t="n">
        <v>32</v>
      </c>
      <c r="BE10" s="6" t="n">
        <v>33</v>
      </c>
      <c r="BF10" s="6" t="n">
        <v>34</v>
      </c>
      <c r="BG10" s="6" t="n">
        <v>35</v>
      </c>
      <c r="BH10" s="6" t="n">
        <v>36</v>
      </c>
      <c r="BI10" s="6" t="n">
        <v>37</v>
      </c>
      <c r="BJ10" s="6" t="n">
        <v>38</v>
      </c>
      <c r="BK10" s="6" t="n">
        <v>39</v>
      </c>
      <c r="BL10" s="6" t="n">
        <v>40</v>
      </c>
      <c r="BM10" s="6" t="n">
        <v>41</v>
      </c>
      <c r="BN10" s="6" t="n">
        <v>42</v>
      </c>
      <c r="BO10" s="6" t="n">
        <v>43</v>
      </c>
      <c r="BP10" s="6" t="n">
        <v>44</v>
      </c>
      <c r="BQ10" s="6" t="n">
        <v>45</v>
      </c>
      <c r="BR10" s="6" t="n">
        <v>46</v>
      </c>
      <c r="BS10" s="6" t="n">
        <v>47</v>
      </c>
      <c r="BT10" s="6" t="n">
        <v>48</v>
      </c>
    </row>
    <row r="11" spans="2:72">
      <c r="B11" t="s">
        <v>9</v>
      </c>
      <c r="Y11" s="20"/>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row>
    <row r="12" spans="2:72">
      <c r="B12" s="76" t="s">
        <v>10</v>
      </c>
      <c r="C12" s="78" t="s">
        <v>11</v>
      </c>
      <c r="D12" s="80" t="s">
        <v>12</v>
      </c>
      <c r="E12" s="82" t="s">
        <v>13</v>
      </c>
      <c r="F12" s="83"/>
      <c r="G12" s="83"/>
      <c r="H12" s="83"/>
      <c r="I12" s="83"/>
      <c r="J12" s="83"/>
      <c r="K12" s="83"/>
      <c r="L12" s="83"/>
      <c r="M12" s="84"/>
      <c r="N12" s="85" t="s">
        <v>14</v>
      </c>
      <c r="O12" s="86"/>
      <c r="P12" s="86"/>
      <c r="Q12" s="86"/>
      <c r="R12" s="86"/>
      <c r="S12" s="86"/>
      <c r="T12" s="86"/>
      <c r="U12" s="86"/>
      <c r="V12" s="86"/>
      <c r="W12" s="86"/>
      <c r="X12" s="87"/>
      <c r="Y12" s="70" t="s">
        <v>15</v>
      </c>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1"/>
    </row>
    <row r="13" spans="2:72" ht="88.80" customHeight="1">
      <c r="B13" s="77"/>
      <c r="C13" s="79"/>
      <c r="D13" s="81"/>
      <c r="E13" s="88" t="s">
        <v>16</v>
      </c>
      <c r="F13" s="89"/>
      <c r="G13" s="89"/>
      <c r="H13" s="89"/>
      <c r="I13" s="89" t="s">
        <v>17</v>
      </c>
      <c r="J13" s="89"/>
      <c r="K13" s="89"/>
      <c r="L13" s="89"/>
      <c r="M13" s="33" t="s">
        <v>18</v>
      </c>
      <c r="N13" s="88" t="s">
        <v>19</v>
      </c>
      <c r="O13" s="89"/>
      <c r="P13" s="89"/>
      <c r="Q13" s="89"/>
      <c r="R13" s="89"/>
      <c r="S13" s="89"/>
      <c r="T13" s="89"/>
      <c r="U13" s="89"/>
      <c r="V13" s="89"/>
      <c r="W13" s="89"/>
      <c r="X13" s="33" t="s">
        <v>20</v>
      </c>
      <c r="Y13" s="72" t="s">
        <v>21</v>
      </c>
      <c r="Z13" s="72"/>
      <c r="AA13" s="72"/>
      <c r="AB13" s="72"/>
      <c r="AC13" s="72"/>
      <c r="AD13" s="73"/>
      <c r="AE13" s="74" t="s">
        <v>22</v>
      </c>
      <c r="AF13" s="72"/>
      <c r="AG13" s="72"/>
      <c r="AH13" s="72"/>
      <c r="AI13" s="72"/>
      <c r="AJ13" s="73"/>
      <c r="AK13" s="74" t="s">
        <v>23</v>
      </c>
      <c r="AL13" s="72"/>
      <c r="AM13" s="72"/>
      <c r="AN13" s="72"/>
      <c r="AO13" s="72"/>
      <c r="AP13" s="73"/>
      <c r="AQ13" s="74" t="s">
        <v>24</v>
      </c>
      <c r="AR13" s="72"/>
      <c r="AS13" s="72"/>
      <c r="AT13" s="72"/>
      <c r="AU13" s="72"/>
      <c r="AV13" s="73"/>
      <c r="AW13" s="74" t="s">
        <v>25</v>
      </c>
      <c r="AX13" s="72"/>
      <c r="AY13" s="72"/>
      <c r="AZ13" s="72"/>
      <c r="BA13" s="72"/>
      <c r="BB13" s="73"/>
      <c r="BC13" s="74" t="s">
        <v>26</v>
      </c>
      <c r="BD13" s="72"/>
      <c r="BE13" s="72"/>
      <c r="BF13" s="72"/>
      <c r="BG13" s="72"/>
      <c r="BH13" s="73"/>
      <c r="BI13" s="74" t="s">
        <v>27</v>
      </c>
      <c r="BJ13" s="72"/>
      <c r="BK13" s="72"/>
      <c r="BL13" s="72"/>
      <c r="BM13" s="72"/>
      <c r="BN13" s="73"/>
      <c r="BO13" s="72" t="s">
        <v>28</v>
      </c>
      <c r="BP13" s="72"/>
      <c r="BQ13" s="72"/>
      <c r="BR13" s="72"/>
      <c r="BS13" s="72"/>
      <c r="BT13" s="75"/>
    </row>
    <row r="14" spans="2:72">
      <c r="B14" s="35" t="s">
        <v>29</v>
      </c>
      <c r="C14" s="36"/>
      <c r="D14" s="37"/>
      <c r="E14" s="38">
        <f>SUM(E15:E29)</f>
        <v>0</v>
      </c>
      <c r="F14" s="39">
        <f>SUM(F15:F29)</f>
        <v>0</v>
      </c>
      <c r="G14" s="39">
        <f>SUM(G15:G29)</f>
        <v>0</v>
      </c>
      <c r="H14" s="39">
        <f>SUM(H15:H29)</f>
        <v>0</v>
      </c>
      <c r="I14" s="39">
        <f>SUM(I15:I29)</f>
        <v>0</v>
      </c>
      <c r="J14" s="39">
        <f>SUM(J15:J29)</f>
        <v>0</v>
      </c>
      <c r="K14" s="39">
        <f>SUM(K15:K29)</f>
        <v>0</v>
      </c>
      <c r="L14" s="40">
        <f>SUM(L15:L29)</f>
        <v>0</v>
      </c>
      <c r="M14" s="39">
        <f>SUM(E14:L14)</f>
        <v>0</v>
      </c>
      <c r="N14" s="39">
        <f>SUM(N15:N29)</f>
        <v>0</v>
      </c>
      <c r="O14" s="39">
        <f>SUM(O15:O29)</f>
        <v>0</v>
      </c>
      <c r="P14" s="39">
        <f>SUM(P15:P29)</f>
        <v>0</v>
      </c>
      <c r="Q14" s="39">
        <f>SUM(Q15:Q29)</f>
        <v>0</v>
      </c>
      <c r="R14" s="39">
        <f>SUM(R15:R29)</f>
        <v>0</v>
      </c>
      <c r="S14" s="39">
        <f>SUM(S15:S29)</f>
        <v>0</v>
      </c>
      <c r="T14" s="39">
        <f>SUM(T15:T29)</f>
        <v>0</v>
      </c>
      <c r="U14" s="39">
        <f>SUM(U15:U29)</f>
        <v>0</v>
      </c>
      <c r="V14" s="39">
        <f>SUM(V15:V29)</f>
        <v>0</v>
      </c>
      <c r="W14" s="39">
        <f>SUM(W15:W29)</f>
        <v>0</v>
      </c>
      <c r="X14" s="39">
        <f>SUM(N14:W14)</f>
        <v>0</v>
      </c>
      <c r="Y14" s="9"/>
      <c r="Z14" s="9"/>
      <c r="AA14" s="9"/>
      <c r="AB14" s="9"/>
      <c r="AC14" s="9"/>
      <c r="AD14" s="10"/>
      <c r="AE14" s="11"/>
      <c r="AF14" s="9"/>
      <c r="AG14" s="9"/>
      <c r="AH14" s="9"/>
      <c r="AI14" s="9"/>
      <c r="AJ14" s="10"/>
      <c r="AK14" s="11"/>
      <c r="AL14" s="9"/>
      <c r="AM14" s="9"/>
      <c r="AN14" s="9"/>
      <c r="AO14" s="9"/>
      <c r="AP14" s="10"/>
      <c r="AQ14" s="11"/>
      <c r="AR14" s="9"/>
      <c r="AS14" s="9"/>
      <c r="AT14" s="9"/>
      <c r="AU14" s="9"/>
      <c r="AV14" s="10"/>
      <c r="AW14" s="11"/>
      <c r="AX14" s="9"/>
      <c r="AY14" s="9"/>
      <c r="AZ14" s="9"/>
      <c r="BA14" s="9"/>
      <c r="BB14" s="10"/>
      <c r="BC14" s="11"/>
      <c r="BD14" s="9"/>
      <c r="BE14" s="9"/>
      <c r="BF14" s="9"/>
      <c r="BG14" s="9"/>
      <c r="BH14" s="10"/>
      <c r="BI14" s="11"/>
      <c r="BJ14" s="9"/>
      <c r="BK14" s="9"/>
      <c r="BL14" s="9"/>
      <c r="BM14" s="9"/>
      <c r="BN14" s="10"/>
      <c r="BO14" s="9"/>
      <c r="BP14" s="9"/>
      <c r="BQ14" s="9"/>
      <c r="BR14" s="9"/>
      <c r="BS14" s="9"/>
      <c r="BT14" s="12"/>
    </row>
    <row r="15" spans="2:72">
      <c r="B15" s="46" t="s">
        <v>30</v>
      </c>
      <c r="C15" s="17"/>
      <c r="D15" s="21"/>
      <c r="E15" s="48"/>
      <c r="F15" s="49"/>
      <c r="G15" s="49"/>
      <c r="H15" s="49"/>
      <c r="I15" s="49"/>
      <c r="J15" s="49"/>
      <c r="K15" s="49"/>
      <c r="L15" s="50"/>
      <c r="M15" s="41">
        <f>SUM(E15:L15)</f>
        <v>0</v>
      </c>
      <c r="N15" s="49"/>
      <c r="O15" s="49"/>
      <c r="P15" s="49"/>
      <c r="Q15" s="49"/>
      <c r="R15" s="49"/>
      <c r="S15" s="49"/>
      <c r="T15" s="49"/>
      <c r="U15" s="49"/>
      <c r="V15" s="49"/>
      <c r="W15" s="49"/>
      <c r="X15" s="41">
        <f>SUM(N15:W15)</f>
        <v>0</v>
      </c>
      <c r="Y15" s="22"/>
      <c r="Z15" s="22"/>
      <c r="AA15" s="22"/>
      <c r="AB15" s="22"/>
      <c r="AC15" s="22"/>
      <c r="AD15" s="14"/>
      <c r="AE15" s="15"/>
      <c r="AF15" s="13"/>
      <c r="AG15" s="13"/>
      <c r="AH15" s="13"/>
      <c r="AI15" s="13"/>
      <c r="AJ15" s="14"/>
      <c r="AK15" s="15"/>
      <c r="AL15" s="13"/>
      <c r="AM15" s="13"/>
      <c r="AN15" s="13"/>
      <c r="AO15" s="13"/>
      <c r="AP15" s="14"/>
      <c r="AQ15" s="15"/>
      <c r="AR15" s="13"/>
      <c r="AS15" s="13"/>
      <c r="AT15" s="13"/>
      <c r="AU15" s="13"/>
      <c r="AV15" s="14"/>
      <c r="AW15" s="15"/>
      <c r="AX15" s="13"/>
      <c r="AY15" s="13"/>
      <c r="AZ15" s="13"/>
      <c r="BA15" s="13"/>
      <c r="BB15" s="14"/>
      <c r="BC15" s="15"/>
      <c r="BD15" s="13"/>
      <c r="BE15" s="13"/>
      <c r="BF15" s="13"/>
      <c r="BG15" s="13"/>
      <c r="BH15" s="14"/>
      <c r="BI15" s="15"/>
      <c r="BJ15" s="13"/>
      <c r="BK15" s="13"/>
      <c r="BL15" s="13"/>
      <c r="BM15" s="13"/>
      <c r="BN15" s="14"/>
      <c r="BO15" s="13"/>
      <c r="BP15" s="13"/>
      <c r="BQ15" s="13"/>
      <c r="BR15" s="13"/>
      <c r="BS15" s="13"/>
      <c r="BT15" s="16"/>
    </row>
    <row r="16" spans="2:72">
      <c r="B16" s="47" t="s">
        <v>31</v>
      </c>
      <c r="C16" s="17"/>
      <c r="D16" s="21"/>
      <c r="E16" s="51"/>
      <c r="F16" s="52"/>
      <c r="G16" s="52"/>
      <c r="H16" s="52"/>
      <c r="I16" s="52"/>
      <c r="J16" s="52"/>
      <c r="K16" s="52"/>
      <c r="L16" s="52"/>
      <c r="M16" s="42"/>
      <c r="N16" s="52"/>
      <c r="O16" s="52"/>
      <c r="P16" s="52"/>
      <c r="Q16" s="52"/>
      <c r="R16" s="52"/>
      <c r="S16" s="52"/>
      <c r="T16" s="52"/>
      <c r="U16" s="52"/>
      <c r="V16" s="52"/>
      <c r="W16" s="52"/>
      <c r="X16" s="42"/>
      <c r="Y16" s="13"/>
      <c r="Z16" s="13"/>
      <c r="AA16" s="13"/>
      <c r="AB16" s="13"/>
      <c r="AC16" s="13"/>
      <c r="AD16" s="14"/>
      <c r="AE16" s="15"/>
      <c r="AF16" s="13"/>
      <c r="AG16" s="13"/>
      <c r="AH16" s="13"/>
      <c r="AI16" s="13"/>
      <c r="AJ16" s="14"/>
      <c r="AK16" s="15"/>
      <c r="AL16" s="13"/>
      <c r="AM16" s="13"/>
      <c r="AN16" s="13"/>
      <c r="AO16" s="13"/>
      <c r="AP16" s="14"/>
      <c r="AQ16" s="15"/>
      <c r="AR16" s="13"/>
      <c r="AS16" s="13"/>
      <c r="AT16" s="13"/>
      <c r="AU16" s="13"/>
      <c r="AV16" s="14"/>
      <c r="AW16" s="15"/>
      <c r="AX16" s="13"/>
      <c r="AY16" s="13"/>
      <c r="AZ16" s="13"/>
      <c r="BA16" s="13"/>
      <c r="BB16" s="14"/>
      <c r="BC16" s="15"/>
      <c r="BD16" s="13"/>
      <c r="BE16" s="13"/>
      <c r="BF16" s="13"/>
      <c r="BG16" s="13"/>
      <c r="BH16" s="14"/>
      <c r="BI16" s="15"/>
      <c r="BJ16" s="13"/>
      <c r="BK16" s="13"/>
      <c r="BL16" s="13"/>
      <c r="BM16" s="13"/>
      <c r="BN16" s="14"/>
      <c r="BO16" s="13"/>
      <c r="BP16" s="13"/>
      <c r="BQ16" s="13"/>
      <c r="BR16" s="13"/>
      <c r="BS16" s="13"/>
      <c r="BT16" s="16"/>
    </row>
    <row r="17" spans="2:72">
      <c r="B17" s="47" t="s">
        <v>32</v>
      </c>
      <c r="C17" s="17"/>
      <c r="D17" s="21"/>
      <c r="E17" s="51"/>
      <c r="F17" s="52"/>
      <c r="G17" s="52"/>
      <c r="H17" s="52"/>
      <c r="I17" s="52"/>
      <c r="J17" s="52"/>
      <c r="K17" s="52"/>
      <c r="L17" s="52"/>
      <c r="M17" s="42"/>
      <c r="N17" s="52"/>
      <c r="O17" s="52"/>
      <c r="P17" s="52"/>
      <c r="Q17" s="52"/>
      <c r="R17" s="52"/>
      <c r="S17" s="52"/>
      <c r="T17" s="52"/>
      <c r="U17" s="52"/>
      <c r="V17" s="52"/>
      <c r="W17" s="52"/>
      <c r="X17" s="42"/>
      <c r="Y17" s="13"/>
      <c r="Z17" s="13"/>
      <c r="AA17" s="13"/>
      <c r="AB17" s="13"/>
      <c r="AC17" s="13"/>
      <c r="AD17" s="14"/>
      <c r="AE17" s="15"/>
      <c r="AF17" s="13"/>
      <c r="AG17" s="13"/>
      <c r="AH17" s="13"/>
      <c r="AI17" s="13"/>
      <c r="AJ17" s="14"/>
      <c r="AK17" s="15"/>
      <c r="AL17" s="13"/>
      <c r="AM17" s="13"/>
      <c r="AN17" s="13"/>
      <c r="AO17" s="13"/>
      <c r="AP17" s="14"/>
      <c r="AQ17" s="15"/>
      <c r="AR17" s="13"/>
      <c r="AS17" s="13"/>
      <c r="AT17" s="13"/>
      <c r="AU17" s="13"/>
      <c r="AV17" s="14"/>
      <c r="AW17" s="15"/>
      <c r="AX17" s="13"/>
      <c r="AY17" s="13"/>
      <c r="AZ17" s="13"/>
      <c r="BA17" s="13"/>
      <c r="BB17" s="14"/>
      <c r="BC17" s="15"/>
      <c r="BD17" s="13"/>
      <c r="BE17" s="13"/>
      <c r="BF17" s="13"/>
      <c r="BG17" s="13"/>
      <c r="BH17" s="14"/>
      <c r="BI17" s="15"/>
      <c r="BJ17" s="13"/>
      <c r="BK17" s="13"/>
      <c r="BL17" s="13"/>
      <c r="BM17" s="13"/>
      <c r="BN17" s="14"/>
      <c r="BO17" s="13"/>
      <c r="BP17" s="13"/>
      <c r="BQ17" s="13"/>
      <c r="BR17" s="13"/>
      <c r="BS17" s="13"/>
      <c r="BT17" s="16"/>
    </row>
    <row r="18" spans="2:72">
      <c r="B18" s="46" t="s">
        <v>33</v>
      </c>
      <c r="C18" s="17"/>
      <c r="D18" s="21"/>
      <c r="E18" s="48"/>
      <c r="F18" s="49"/>
      <c r="G18" s="49"/>
      <c r="H18" s="49"/>
      <c r="I18" s="49"/>
      <c r="J18" s="49"/>
      <c r="K18" s="49"/>
      <c r="L18" s="50"/>
      <c r="M18" s="41">
        <f>SUM(E18:L18)</f>
        <v>0</v>
      </c>
      <c r="N18" s="49"/>
      <c r="O18" s="49"/>
      <c r="P18" s="49"/>
      <c r="Q18" s="49"/>
      <c r="R18" s="49"/>
      <c r="S18" s="49"/>
      <c r="T18" s="49"/>
      <c r="U18" s="49"/>
      <c r="V18" s="49"/>
      <c r="W18" s="49"/>
      <c r="X18" s="41">
        <f>SUM(N18:W18)</f>
        <v>0</v>
      </c>
      <c r="Y18" s="13"/>
      <c r="Z18" s="13"/>
      <c r="AA18" s="13"/>
      <c r="AB18" s="13"/>
      <c r="AC18" s="13"/>
      <c r="AD18" s="14"/>
      <c r="AE18" s="15"/>
      <c r="AF18" s="13"/>
      <c r="AG18" s="13"/>
      <c r="AH18" s="13"/>
      <c r="AI18" s="13"/>
      <c r="AJ18" s="14"/>
      <c r="AK18" s="15"/>
      <c r="AL18" s="13"/>
      <c r="AM18" s="13"/>
      <c r="AN18" s="13"/>
      <c r="AO18" s="13"/>
      <c r="AP18" s="14"/>
      <c r="AQ18" s="15"/>
      <c r="AR18" s="13"/>
      <c r="AS18" s="13"/>
      <c r="AT18" s="13"/>
      <c r="AU18" s="13"/>
      <c r="AV18" s="14"/>
      <c r="AW18" s="15"/>
      <c r="AX18" s="13"/>
      <c r="AY18" s="13"/>
      <c r="AZ18" s="13"/>
      <c r="BA18" s="13"/>
      <c r="BB18" s="14"/>
      <c r="BC18" s="15"/>
      <c r="BD18" s="13"/>
      <c r="BE18" s="13"/>
      <c r="BF18" s="13"/>
      <c r="BG18" s="13"/>
      <c r="BH18" s="14"/>
      <c r="BI18" s="15"/>
      <c r="BJ18" s="13"/>
      <c r="BK18" s="13"/>
      <c r="BL18" s="13"/>
      <c r="BM18" s="13"/>
      <c r="BN18" s="14"/>
      <c r="BO18" s="13"/>
      <c r="BP18" s="13"/>
      <c r="BQ18" s="13"/>
      <c r="BR18" s="13"/>
      <c r="BS18" s="13"/>
      <c r="BT18" s="16"/>
    </row>
    <row r="19" spans="2:72">
      <c r="B19" s="47" t="s">
        <v>34</v>
      </c>
      <c r="C19" s="17"/>
      <c r="D19" s="21"/>
      <c r="E19" s="51"/>
      <c r="F19" s="52"/>
      <c r="G19" s="52"/>
      <c r="H19" s="52"/>
      <c r="I19" s="52"/>
      <c r="J19" s="52"/>
      <c r="K19" s="52"/>
      <c r="L19" s="52"/>
      <c r="M19" s="42"/>
      <c r="N19" s="52"/>
      <c r="O19" s="52"/>
      <c r="P19" s="52"/>
      <c r="Q19" s="52"/>
      <c r="R19" s="52"/>
      <c r="S19" s="52"/>
      <c r="T19" s="52"/>
      <c r="U19" s="52"/>
      <c r="V19" s="52"/>
      <c r="W19" s="52"/>
      <c r="X19" s="42"/>
      <c r="Y19" s="13"/>
      <c r="Z19" s="13"/>
      <c r="AA19" s="13"/>
      <c r="AB19" s="13"/>
      <c r="AC19" s="13"/>
      <c r="AD19" s="14"/>
      <c r="AE19" s="15"/>
      <c r="AF19" s="13"/>
      <c r="AG19" s="13"/>
      <c r="AH19" s="13"/>
      <c r="AI19" s="13"/>
      <c r="AJ19" s="14"/>
      <c r="AK19" s="15"/>
      <c r="AL19" s="13"/>
      <c r="AM19" s="13"/>
      <c r="AN19" s="13"/>
      <c r="AO19" s="13"/>
      <c r="AP19" s="14"/>
      <c r="AQ19" s="15"/>
      <c r="AR19" s="13"/>
      <c r="AS19" s="13"/>
      <c r="AT19" s="13"/>
      <c r="AU19" s="13"/>
      <c r="AV19" s="14"/>
      <c r="AW19" s="15"/>
      <c r="AX19" s="13"/>
      <c r="AY19" s="13"/>
      <c r="AZ19" s="13"/>
      <c r="BA19" s="13"/>
      <c r="BB19" s="14"/>
      <c r="BC19" s="15"/>
      <c r="BD19" s="13"/>
      <c r="BE19" s="13"/>
      <c r="BF19" s="13"/>
      <c r="BG19" s="13"/>
      <c r="BH19" s="14"/>
      <c r="BI19" s="15"/>
      <c r="BJ19" s="13"/>
      <c r="BK19" s="13"/>
      <c r="BL19" s="13"/>
      <c r="BM19" s="13"/>
      <c r="BN19" s="14"/>
      <c r="BO19" s="13"/>
      <c r="BP19" s="13"/>
      <c r="BQ19" s="13"/>
      <c r="BR19" s="13"/>
      <c r="BS19" s="13"/>
      <c r="BT19" s="16"/>
    </row>
    <row r="20" spans="2:72">
      <c r="B20" s="47" t="s">
        <v>35</v>
      </c>
      <c r="C20" s="17"/>
      <c r="D20" s="21"/>
      <c r="E20" s="51"/>
      <c r="F20" s="52"/>
      <c r="G20" s="52"/>
      <c r="H20" s="52"/>
      <c r="I20" s="52"/>
      <c r="J20" s="52"/>
      <c r="K20" s="52"/>
      <c r="L20" s="52"/>
      <c r="M20" s="42"/>
      <c r="N20" s="52"/>
      <c r="O20" s="52"/>
      <c r="P20" s="52"/>
      <c r="Q20" s="52"/>
      <c r="R20" s="52"/>
      <c r="S20" s="52"/>
      <c r="T20" s="52"/>
      <c r="U20" s="52"/>
      <c r="V20" s="52"/>
      <c r="W20" s="52"/>
      <c r="X20" s="42"/>
      <c r="Y20" s="13"/>
      <c r="Z20" s="13"/>
      <c r="AA20" s="13"/>
      <c r="AB20" s="13"/>
      <c r="AC20" s="13"/>
      <c r="AD20" s="14"/>
      <c r="AE20" s="15"/>
      <c r="AF20" s="13"/>
      <c r="AG20" s="13"/>
      <c r="AH20" s="13"/>
      <c r="AI20" s="13"/>
      <c r="AJ20" s="14"/>
      <c r="AK20" s="15"/>
      <c r="AL20" s="13"/>
      <c r="AM20" s="13"/>
      <c r="AN20" s="13"/>
      <c r="AO20" s="13"/>
      <c r="AP20" s="14"/>
      <c r="AQ20" s="15"/>
      <c r="AR20" s="13"/>
      <c r="AS20" s="13"/>
      <c r="AT20" s="13"/>
      <c r="AU20" s="13"/>
      <c r="AV20" s="14"/>
      <c r="AW20" s="15"/>
      <c r="AX20" s="13"/>
      <c r="AY20" s="13"/>
      <c r="AZ20" s="13"/>
      <c r="BA20" s="13"/>
      <c r="BB20" s="14"/>
      <c r="BC20" s="15"/>
      <c r="BD20" s="13"/>
      <c r="BE20" s="13"/>
      <c r="BF20" s="13"/>
      <c r="BG20" s="13"/>
      <c r="BH20" s="14"/>
      <c r="BI20" s="15"/>
      <c r="BJ20" s="13"/>
      <c r="BK20" s="13"/>
      <c r="BL20" s="13"/>
      <c r="BM20" s="13"/>
      <c r="BN20" s="14"/>
      <c r="BO20" s="13"/>
      <c r="BP20" s="13"/>
      <c r="BQ20" s="13"/>
      <c r="BR20" s="13"/>
      <c r="BS20" s="13"/>
      <c r="BT20" s="16"/>
    </row>
    <row r="21" spans="2:72">
      <c r="B21" s="46" t="s">
        <v>36</v>
      </c>
      <c r="C21" s="17"/>
      <c r="D21" s="21"/>
      <c r="E21" s="48"/>
      <c r="F21" s="49"/>
      <c r="G21" s="49"/>
      <c r="H21" s="49"/>
      <c r="I21" s="49"/>
      <c r="J21" s="49"/>
      <c r="K21" s="49"/>
      <c r="L21" s="50"/>
      <c r="M21" s="41">
        <f>SUM(E21:L21)</f>
        <v>0</v>
      </c>
      <c r="N21" s="49"/>
      <c r="O21" s="49"/>
      <c r="P21" s="49"/>
      <c r="Q21" s="49"/>
      <c r="R21" s="49"/>
      <c r="S21" s="49"/>
      <c r="T21" s="49"/>
      <c r="U21" s="49"/>
      <c r="V21" s="49"/>
      <c r="W21" s="49"/>
      <c r="X21" s="41">
        <f>SUM(N21:W21)</f>
        <v>0</v>
      </c>
      <c r="Y21" s="13"/>
      <c r="Z21" s="13"/>
      <c r="AA21" s="13"/>
      <c r="AB21" s="13"/>
      <c r="AC21" s="13"/>
      <c r="AD21" s="14"/>
      <c r="AE21" s="15"/>
      <c r="AF21" s="13"/>
      <c r="AG21" s="13"/>
      <c r="AH21" s="13"/>
      <c r="AI21" s="13"/>
      <c r="AJ21" s="14"/>
      <c r="AK21" s="15"/>
      <c r="AL21" s="13"/>
      <c r="AM21" s="13"/>
      <c r="AN21" s="13"/>
      <c r="AO21" s="13"/>
      <c r="AP21" s="14"/>
      <c r="AQ21" s="15"/>
      <c r="AR21" s="13"/>
      <c r="AS21" s="13"/>
      <c r="AT21" s="13"/>
      <c r="AU21" s="13"/>
      <c r="AV21" s="14"/>
      <c r="AW21" s="15"/>
      <c r="AX21" s="13"/>
      <c r="AY21" s="13"/>
      <c r="AZ21" s="13"/>
      <c r="BA21" s="13"/>
      <c r="BB21" s="14"/>
      <c r="BC21" s="15"/>
      <c r="BD21" s="13"/>
      <c r="BE21" s="13"/>
      <c r="BF21" s="13"/>
      <c r="BG21" s="13"/>
      <c r="BH21" s="14"/>
      <c r="BI21" s="15"/>
      <c r="BJ21" s="13"/>
      <c r="BK21" s="13"/>
      <c r="BL21" s="13"/>
      <c r="BM21" s="13"/>
      <c r="BN21" s="14"/>
      <c r="BO21" s="13"/>
      <c r="BP21" s="13"/>
      <c r="BQ21" s="13"/>
      <c r="BR21" s="13"/>
      <c r="BS21" s="13"/>
      <c r="BT21" s="16"/>
    </row>
    <row r="22" spans="2:72">
      <c r="B22" s="47" t="s">
        <v>37</v>
      </c>
      <c r="C22" s="17"/>
      <c r="D22" s="21"/>
      <c r="E22" s="51"/>
      <c r="F22" s="52"/>
      <c r="G22" s="52"/>
      <c r="H22" s="52"/>
      <c r="I22" s="52"/>
      <c r="J22" s="52"/>
      <c r="K22" s="52"/>
      <c r="L22" s="52"/>
      <c r="M22" s="42"/>
      <c r="N22" s="52"/>
      <c r="O22" s="52"/>
      <c r="P22" s="52"/>
      <c r="Q22" s="52"/>
      <c r="R22" s="52"/>
      <c r="S22" s="52"/>
      <c r="T22" s="52"/>
      <c r="U22" s="52"/>
      <c r="V22" s="52"/>
      <c r="W22" s="52"/>
      <c r="X22" s="42"/>
      <c r="Y22" s="13"/>
      <c r="Z22" s="13"/>
      <c r="AA22" s="13"/>
      <c r="AB22" s="13"/>
      <c r="AC22" s="13"/>
      <c r="AD22" s="14"/>
      <c r="AE22" s="15"/>
      <c r="AF22" s="13"/>
      <c r="AG22" s="13"/>
      <c r="AH22" s="13"/>
      <c r="AI22" s="13"/>
      <c r="AJ22" s="14"/>
      <c r="AK22" s="15"/>
      <c r="AL22" s="13"/>
      <c r="AM22" s="13"/>
      <c r="AN22" s="13"/>
      <c r="AO22" s="13"/>
      <c r="AP22" s="14"/>
      <c r="AQ22" s="15"/>
      <c r="AR22" s="13"/>
      <c r="AS22" s="13"/>
      <c r="AT22" s="13"/>
      <c r="AU22" s="13"/>
      <c r="AV22" s="14"/>
      <c r="AW22" s="15"/>
      <c r="AX22" s="13"/>
      <c r="AY22" s="13"/>
      <c r="AZ22" s="13"/>
      <c r="BA22" s="13"/>
      <c r="BB22" s="14"/>
      <c r="BC22" s="15"/>
      <c r="BD22" s="13"/>
      <c r="BE22" s="13"/>
      <c r="BF22" s="13"/>
      <c r="BG22" s="13"/>
      <c r="BH22" s="14"/>
      <c r="BI22" s="15"/>
      <c r="BJ22" s="13"/>
      <c r="BK22" s="13"/>
      <c r="BL22" s="13"/>
      <c r="BM22" s="13"/>
      <c r="BN22" s="14"/>
      <c r="BO22" s="13"/>
      <c r="BP22" s="13"/>
      <c r="BQ22" s="13"/>
      <c r="BR22" s="13"/>
      <c r="BS22" s="13"/>
      <c r="BT22" s="16"/>
    </row>
    <row r="23" spans="2:72">
      <c r="B23" s="47" t="s">
        <v>38</v>
      </c>
      <c r="C23" s="17"/>
      <c r="D23" s="21"/>
      <c r="E23" s="51"/>
      <c r="F23" s="52"/>
      <c r="G23" s="52"/>
      <c r="H23" s="52"/>
      <c r="I23" s="52"/>
      <c r="J23" s="52"/>
      <c r="K23" s="52"/>
      <c r="L23" s="52"/>
      <c r="M23" s="42"/>
      <c r="N23" s="52"/>
      <c r="O23" s="52"/>
      <c r="P23" s="52"/>
      <c r="Q23" s="52"/>
      <c r="R23" s="52"/>
      <c r="S23" s="52"/>
      <c r="T23" s="52"/>
      <c r="U23" s="52"/>
      <c r="V23" s="52"/>
      <c r="W23" s="52"/>
      <c r="X23" s="42"/>
      <c r="Y23" s="13"/>
      <c r="Z23" s="13"/>
      <c r="AA23" s="13"/>
      <c r="AB23" s="13"/>
      <c r="AC23" s="13"/>
      <c r="AD23" s="14"/>
      <c r="AE23" s="15"/>
      <c r="AF23" s="13"/>
      <c r="AG23" s="13"/>
      <c r="AH23" s="13"/>
      <c r="AI23" s="13"/>
      <c r="AJ23" s="14"/>
      <c r="AK23" s="15"/>
      <c r="AL23" s="13"/>
      <c r="AM23" s="13"/>
      <c r="AN23" s="13"/>
      <c r="AO23" s="13"/>
      <c r="AP23" s="14"/>
      <c r="AQ23" s="15"/>
      <c r="AR23" s="13"/>
      <c r="AS23" s="13"/>
      <c r="AT23" s="13"/>
      <c r="AU23" s="13"/>
      <c r="AV23" s="14"/>
      <c r="AW23" s="15"/>
      <c r="AX23" s="13"/>
      <c r="AY23" s="13"/>
      <c r="AZ23" s="13"/>
      <c r="BA23" s="13"/>
      <c r="BB23" s="14"/>
      <c r="BC23" s="15"/>
      <c r="BD23" s="13"/>
      <c r="BE23" s="13"/>
      <c r="BF23" s="13"/>
      <c r="BG23" s="13"/>
      <c r="BH23" s="14"/>
      <c r="BI23" s="15"/>
      <c r="BJ23" s="13"/>
      <c r="BK23" s="13"/>
      <c r="BL23" s="13"/>
      <c r="BM23" s="13"/>
      <c r="BN23" s="14"/>
      <c r="BO23" s="13"/>
      <c r="BP23" s="13"/>
      <c r="BQ23" s="13"/>
      <c r="BR23" s="13"/>
      <c r="BS23" s="13"/>
      <c r="BT23" s="16"/>
    </row>
    <row r="24" spans="2:72">
      <c r="B24" s="46" t="s">
        <v>39</v>
      </c>
      <c r="C24" s="17"/>
      <c r="D24" s="21"/>
      <c r="E24" s="48"/>
      <c r="F24" s="49"/>
      <c r="G24" s="49"/>
      <c r="H24" s="49"/>
      <c r="I24" s="49"/>
      <c r="J24" s="49"/>
      <c r="K24" s="49"/>
      <c r="L24" s="50"/>
      <c r="M24" s="41">
        <f>SUM(E24:L24)</f>
        <v>0</v>
      </c>
      <c r="N24" s="49"/>
      <c r="O24" s="49"/>
      <c r="P24" s="49"/>
      <c r="Q24" s="49"/>
      <c r="R24" s="49"/>
      <c r="S24" s="49"/>
      <c r="T24" s="49"/>
      <c r="U24" s="49"/>
      <c r="V24" s="49"/>
      <c r="W24" s="49"/>
      <c r="X24" s="41">
        <f>SUM(N24:W24)</f>
        <v>0</v>
      </c>
      <c r="Y24" s="13"/>
      <c r="Z24" s="13"/>
      <c r="AA24" s="13"/>
      <c r="AB24" s="13"/>
      <c r="AC24" s="13"/>
      <c r="AD24" s="14"/>
      <c r="AE24" s="15"/>
      <c r="AF24" s="13"/>
      <c r="AG24" s="13"/>
      <c r="AH24" s="13"/>
      <c r="AI24" s="13"/>
      <c r="AJ24" s="14"/>
      <c r="AK24" s="15"/>
      <c r="AL24" s="13"/>
      <c r="AM24" s="13"/>
      <c r="AN24" s="13"/>
      <c r="AO24" s="13"/>
      <c r="AP24" s="14"/>
      <c r="AQ24" s="15"/>
      <c r="AR24" s="13"/>
      <c r="AS24" s="13"/>
      <c r="AT24" s="13"/>
      <c r="AU24" s="13"/>
      <c r="AV24" s="14"/>
      <c r="AW24" s="15"/>
      <c r="AX24" s="13"/>
      <c r="AY24" s="13"/>
      <c r="AZ24" s="13"/>
      <c r="BA24" s="13"/>
      <c r="BB24" s="14"/>
      <c r="BC24" s="15"/>
      <c r="BD24" s="13"/>
      <c r="BE24" s="13"/>
      <c r="BF24" s="13"/>
      <c r="BG24" s="13"/>
      <c r="BH24" s="14"/>
      <c r="BI24" s="15"/>
      <c r="BJ24" s="13"/>
      <c r="BK24" s="13"/>
      <c r="BL24" s="13"/>
      <c r="BM24" s="13"/>
      <c r="BN24" s="14"/>
      <c r="BO24" s="13"/>
      <c r="BP24" s="13"/>
      <c r="BQ24" s="13"/>
      <c r="BR24" s="13"/>
      <c r="BS24" s="13"/>
      <c r="BT24" s="16"/>
    </row>
    <row r="25" spans="2:72">
      <c r="B25" s="47" t="s">
        <v>40</v>
      </c>
      <c r="C25" s="17"/>
      <c r="D25" s="21"/>
      <c r="E25" s="51"/>
      <c r="F25" s="52"/>
      <c r="G25" s="52"/>
      <c r="H25" s="52"/>
      <c r="I25" s="52"/>
      <c r="J25" s="52"/>
      <c r="K25" s="52"/>
      <c r="L25" s="52"/>
      <c r="M25" s="42"/>
      <c r="N25" s="52"/>
      <c r="O25" s="52"/>
      <c r="P25" s="52"/>
      <c r="Q25" s="52"/>
      <c r="R25" s="52"/>
      <c r="S25" s="52"/>
      <c r="T25" s="52"/>
      <c r="U25" s="52"/>
      <c r="V25" s="52"/>
      <c r="W25" s="52"/>
      <c r="X25" s="42"/>
      <c r="Y25" s="13"/>
      <c r="Z25" s="13"/>
      <c r="AA25" s="13"/>
      <c r="AB25" s="13"/>
      <c r="AC25" s="13"/>
      <c r="AD25" s="14"/>
      <c r="AE25" s="15"/>
      <c r="AF25" s="13"/>
      <c r="AG25" s="13"/>
      <c r="AH25" s="13"/>
      <c r="AI25" s="13"/>
      <c r="AJ25" s="14"/>
      <c r="AK25" s="15"/>
      <c r="AL25" s="13"/>
      <c r="AM25" s="13"/>
      <c r="AN25" s="13"/>
      <c r="AO25" s="13"/>
      <c r="AP25" s="14"/>
      <c r="AQ25" s="15"/>
      <c r="AR25" s="13"/>
      <c r="AS25" s="13"/>
      <c r="AT25" s="13"/>
      <c r="AU25" s="13"/>
      <c r="AV25" s="14"/>
      <c r="AW25" s="15"/>
      <c r="AX25" s="13"/>
      <c r="AY25" s="13"/>
      <c r="AZ25" s="13"/>
      <c r="BA25" s="13"/>
      <c r="BB25" s="14"/>
      <c r="BC25" s="15"/>
      <c r="BD25" s="13"/>
      <c r="BE25" s="13"/>
      <c r="BF25" s="13"/>
      <c r="BG25" s="13"/>
      <c r="BH25" s="14"/>
      <c r="BI25" s="15"/>
      <c r="BJ25" s="13"/>
      <c r="BK25" s="13"/>
      <c r="BL25" s="13"/>
      <c r="BM25" s="13"/>
      <c r="BN25" s="14"/>
      <c r="BO25" s="13"/>
      <c r="BP25" s="13"/>
      <c r="BQ25" s="13"/>
      <c r="BR25" s="13"/>
      <c r="BS25" s="13"/>
      <c r="BT25" s="16"/>
    </row>
    <row r="26" spans="2:72">
      <c r="B26" s="47" t="s">
        <v>41</v>
      </c>
      <c r="C26" s="17"/>
      <c r="D26" s="21"/>
      <c r="E26" s="51"/>
      <c r="F26" s="52"/>
      <c r="G26" s="52"/>
      <c r="H26" s="52"/>
      <c r="I26" s="52"/>
      <c r="J26" s="52"/>
      <c r="K26" s="52"/>
      <c r="L26" s="52"/>
      <c r="M26" s="42"/>
      <c r="N26" s="52"/>
      <c r="O26" s="52"/>
      <c r="P26" s="52"/>
      <c r="Q26" s="52"/>
      <c r="R26" s="52"/>
      <c r="S26" s="52"/>
      <c r="T26" s="52"/>
      <c r="U26" s="52"/>
      <c r="V26" s="52"/>
      <c r="W26" s="52"/>
      <c r="X26" s="42"/>
      <c r="Y26" s="13"/>
      <c r="Z26" s="13"/>
      <c r="AA26" s="13"/>
      <c r="AB26" s="13"/>
      <c r="AC26" s="13"/>
      <c r="AD26" s="14"/>
      <c r="AE26" s="15"/>
      <c r="AF26" s="13"/>
      <c r="AG26" s="13"/>
      <c r="AH26" s="13"/>
      <c r="AI26" s="13"/>
      <c r="AJ26" s="14"/>
      <c r="AK26" s="15"/>
      <c r="AL26" s="13"/>
      <c r="AM26" s="13"/>
      <c r="AN26" s="13"/>
      <c r="AO26" s="13"/>
      <c r="AP26" s="14"/>
      <c r="AQ26" s="15"/>
      <c r="AR26" s="13"/>
      <c r="AS26" s="13"/>
      <c r="AT26" s="13"/>
      <c r="AU26" s="13"/>
      <c r="AV26" s="14"/>
      <c r="AW26" s="15"/>
      <c r="AX26" s="13"/>
      <c r="AY26" s="13"/>
      <c r="AZ26" s="13"/>
      <c r="BA26" s="13"/>
      <c r="BB26" s="14"/>
      <c r="BC26" s="15"/>
      <c r="BD26" s="13"/>
      <c r="BE26" s="13"/>
      <c r="BF26" s="13"/>
      <c r="BG26" s="13"/>
      <c r="BH26" s="14"/>
      <c r="BI26" s="15"/>
      <c r="BJ26" s="13"/>
      <c r="BK26" s="13"/>
      <c r="BL26" s="13"/>
      <c r="BM26" s="13"/>
      <c r="BN26" s="14"/>
      <c r="BO26" s="13"/>
      <c r="BP26" s="13"/>
      <c r="BQ26" s="13"/>
      <c r="BR26" s="13"/>
      <c r="BS26" s="13"/>
      <c r="BT26" s="16"/>
    </row>
    <row r="27" spans="2:72">
      <c r="B27" s="46" t="s">
        <v>42</v>
      </c>
      <c r="C27" s="17"/>
      <c r="D27" s="21"/>
      <c r="E27" s="48"/>
      <c r="F27" s="49"/>
      <c r="G27" s="49"/>
      <c r="H27" s="49"/>
      <c r="I27" s="49"/>
      <c r="J27" s="49"/>
      <c r="K27" s="49"/>
      <c r="L27" s="50"/>
      <c r="M27" s="41">
        <f>SUM(E27:L27)</f>
        <v>0</v>
      </c>
      <c r="N27" s="49"/>
      <c r="O27" s="49"/>
      <c r="P27" s="49"/>
      <c r="Q27" s="49"/>
      <c r="R27" s="49"/>
      <c r="S27" s="49"/>
      <c r="T27" s="49"/>
      <c r="U27" s="49"/>
      <c r="V27" s="49"/>
      <c r="W27" s="49"/>
      <c r="X27" s="41">
        <f>SUM(N27:W27)</f>
        <v>0</v>
      </c>
      <c r="Y27" s="13"/>
      <c r="Z27" s="13"/>
      <c r="AA27" s="13"/>
      <c r="AB27" s="13"/>
      <c r="AC27" s="13"/>
      <c r="AD27" s="14"/>
      <c r="AE27" s="15"/>
      <c r="AF27" s="13"/>
      <c r="AG27" s="13"/>
      <c r="AH27" s="13"/>
      <c r="AI27" s="13"/>
      <c r="AJ27" s="14"/>
      <c r="AK27" s="15"/>
      <c r="AL27" s="13"/>
      <c r="AM27" s="13"/>
      <c r="AN27" s="13"/>
      <c r="AO27" s="13"/>
      <c r="AP27" s="14"/>
      <c r="AQ27" s="15"/>
      <c r="AR27" s="13"/>
      <c r="AS27" s="13"/>
      <c r="AT27" s="13"/>
      <c r="AU27" s="13"/>
      <c r="AV27" s="14"/>
      <c r="AW27" s="15"/>
      <c r="AX27" s="13"/>
      <c r="AY27" s="13"/>
      <c r="AZ27" s="13"/>
      <c r="BA27" s="13"/>
      <c r="BB27" s="14"/>
      <c r="BC27" s="15"/>
      <c r="BD27" s="13"/>
      <c r="BE27" s="13"/>
      <c r="BF27" s="13"/>
      <c r="BG27" s="13"/>
      <c r="BH27" s="14"/>
      <c r="BI27" s="15"/>
      <c r="BJ27" s="13"/>
      <c r="BK27" s="13"/>
      <c r="BL27" s="13"/>
      <c r="BM27" s="13"/>
      <c r="BN27" s="14"/>
      <c r="BO27" s="13"/>
      <c r="BP27" s="13"/>
      <c r="BQ27" s="13"/>
      <c r="BR27" s="13"/>
      <c r="BS27" s="13"/>
      <c r="BT27" s="16"/>
    </row>
    <row r="28" spans="2:72">
      <c r="B28" s="47" t="s">
        <v>43</v>
      </c>
      <c r="C28" s="17"/>
      <c r="D28" s="21"/>
      <c r="E28" s="51"/>
      <c r="F28" s="52"/>
      <c r="G28" s="52"/>
      <c r="H28" s="52"/>
      <c r="I28" s="52"/>
      <c r="J28" s="52"/>
      <c r="K28" s="52"/>
      <c r="L28" s="52"/>
      <c r="M28" s="42"/>
      <c r="N28" s="52"/>
      <c r="O28" s="52"/>
      <c r="P28" s="52"/>
      <c r="Q28" s="52"/>
      <c r="R28" s="52"/>
      <c r="S28" s="52"/>
      <c r="T28" s="52"/>
      <c r="U28" s="52"/>
      <c r="V28" s="52"/>
      <c r="W28" s="52"/>
      <c r="X28" s="42"/>
      <c r="Y28" s="13"/>
      <c r="Z28" s="13"/>
      <c r="AA28" s="13"/>
      <c r="AB28" s="13"/>
      <c r="AC28" s="13"/>
      <c r="AD28" s="14"/>
      <c r="AE28" s="15"/>
      <c r="AF28" s="13"/>
      <c r="AG28" s="13"/>
      <c r="AH28" s="13"/>
      <c r="AI28" s="13"/>
      <c r="AJ28" s="14"/>
      <c r="AK28" s="15"/>
      <c r="AL28" s="13"/>
      <c r="AM28" s="13"/>
      <c r="AN28" s="13"/>
      <c r="AO28" s="13"/>
      <c r="AP28" s="14"/>
      <c r="AQ28" s="15"/>
      <c r="AR28" s="13"/>
      <c r="AS28" s="13"/>
      <c r="AT28" s="13"/>
      <c r="AU28" s="13"/>
      <c r="AV28" s="14"/>
      <c r="AW28" s="15"/>
      <c r="AX28" s="13"/>
      <c r="AY28" s="13"/>
      <c r="AZ28" s="13"/>
      <c r="BA28" s="13"/>
      <c r="BB28" s="14"/>
      <c r="BC28" s="15"/>
      <c r="BD28" s="13"/>
      <c r="BE28" s="13"/>
      <c r="BF28" s="13"/>
      <c r="BG28" s="13"/>
      <c r="BH28" s="14"/>
      <c r="BI28" s="15"/>
      <c r="BJ28" s="13"/>
      <c r="BK28" s="13"/>
      <c r="BL28" s="13"/>
      <c r="BM28" s="13"/>
      <c r="BN28" s="14"/>
      <c r="BO28" s="13"/>
      <c r="BP28" s="13"/>
      <c r="BQ28" s="13"/>
      <c r="BR28" s="13"/>
      <c r="BS28" s="13"/>
      <c r="BT28" s="16"/>
    </row>
    <row r="29" spans="2:72">
      <c r="B29" s="47" t="s">
        <v>44</v>
      </c>
      <c r="C29" s="17"/>
      <c r="D29" s="21"/>
      <c r="E29" s="51"/>
      <c r="F29" s="52"/>
      <c r="G29" s="52"/>
      <c r="H29" s="52"/>
      <c r="I29" s="52"/>
      <c r="J29" s="52"/>
      <c r="K29" s="52"/>
      <c r="L29" s="52"/>
      <c r="M29" s="43"/>
      <c r="N29" s="52"/>
      <c r="O29" s="52"/>
      <c r="P29" s="52"/>
      <c r="Q29" s="52"/>
      <c r="R29" s="52"/>
      <c r="S29" s="52"/>
      <c r="T29" s="52"/>
      <c r="U29" s="52"/>
      <c r="V29" s="52"/>
      <c r="W29" s="52"/>
      <c r="X29" s="43"/>
      <c r="Y29" s="13"/>
      <c r="Z29" s="13"/>
      <c r="AA29" s="13"/>
      <c r="AB29" s="13"/>
      <c r="AC29" s="13"/>
      <c r="AD29" s="14"/>
      <c r="AE29" s="15"/>
      <c r="AF29" s="13"/>
      <c r="AG29" s="13"/>
      <c r="AH29" s="13"/>
      <c r="AI29" s="13"/>
      <c r="AJ29" s="14"/>
      <c r="AK29" s="15"/>
      <c r="AL29" s="13"/>
      <c r="AM29" s="13"/>
      <c r="AN29" s="13"/>
      <c r="AO29" s="13"/>
      <c r="AP29" s="14"/>
      <c r="AQ29" s="15"/>
      <c r="AR29" s="13"/>
      <c r="AS29" s="13"/>
      <c r="AT29" s="13"/>
      <c r="AU29" s="13"/>
      <c r="AV29" s="14"/>
      <c r="AW29" s="15"/>
      <c r="AX29" s="13"/>
      <c r="AY29" s="13"/>
      <c r="AZ29" s="13"/>
      <c r="BA29" s="13"/>
      <c r="BB29" s="14"/>
      <c r="BC29" s="15"/>
      <c r="BD29" s="13"/>
      <c r="BE29" s="13"/>
      <c r="BF29" s="13"/>
      <c r="BG29" s="13"/>
      <c r="BH29" s="14"/>
      <c r="BI29" s="15"/>
      <c r="BJ29" s="13"/>
      <c r="BK29" s="13"/>
      <c r="BL29" s="13"/>
      <c r="BM29" s="13"/>
      <c r="BN29" s="14"/>
      <c r="BO29" s="13"/>
      <c r="BP29" s="13"/>
      <c r="BQ29" s="13"/>
      <c r="BR29" s="13"/>
      <c r="BS29" s="13"/>
      <c r="BT29" s="16"/>
    </row>
    <row r="30" spans="2:72">
      <c r="B30" s="35" t="s">
        <v>45</v>
      </c>
      <c r="C30" s="36"/>
      <c r="D30" s="37"/>
      <c r="E30" s="38">
        <f>SUM(E31:E45)</f>
        <v>0</v>
      </c>
      <c r="F30" s="39">
        <f>SUM(F31:F45)</f>
        <v>0</v>
      </c>
      <c r="G30" s="39">
        <f>SUM(G31:G45)</f>
        <v>0</v>
      </c>
      <c r="H30" s="39">
        <f>SUM(H31:H45)</f>
        <v>0</v>
      </c>
      <c r="I30" s="39">
        <f>SUM(I31:I45)</f>
        <v>0</v>
      </c>
      <c r="J30" s="39">
        <f>SUM(J31:J45)</f>
        <v>0</v>
      </c>
      <c r="K30" s="39">
        <f>SUM(K31:K45)</f>
        <v>0</v>
      </c>
      <c r="L30" s="40">
        <f>SUM(L31:L45)</f>
        <v>0</v>
      </c>
      <c r="M30" s="39">
        <f>SUM(E30:L30)</f>
        <v>0</v>
      </c>
      <c r="N30" s="39">
        <f>SUM(N31:N45)</f>
        <v>0</v>
      </c>
      <c r="O30" s="39">
        <f>SUM(O31:O45)</f>
        <v>0</v>
      </c>
      <c r="P30" s="39">
        <f>SUM(P31:P45)</f>
        <v>0</v>
      </c>
      <c r="Q30" s="39">
        <f>SUM(Q31:Q45)</f>
        <v>0</v>
      </c>
      <c r="R30" s="39">
        <f>SUM(R31:R45)</f>
        <v>0</v>
      </c>
      <c r="S30" s="39">
        <f>SUM(S31:S45)</f>
        <v>0</v>
      </c>
      <c r="T30" s="39">
        <f>SUM(T31:T45)</f>
        <v>0</v>
      </c>
      <c r="U30" s="39">
        <f>SUM(U31:U45)</f>
        <v>0</v>
      </c>
      <c r="V30" s="39">
        <f>SUM(V31:V45)</f>
        <v>0</v>
      </c>
      <c r="W30" s="39">
        <f>SUM(W31:W45)</f>
        <v>0</v>
      </c>
      <c r="X30" s="39">
        <f>SUM(N30:W30)</f>
        <v>0</v>
      </c>
      <c r="Y30" s="9"/>
      <c r="Z30" s="9"/>
      <c r="AA30" s="9"/>
      <c r="AB30" s="26"/>
      <c r="AC30" s="26"/>
      <c r="AD30" s="27"/>
      <c r="AE30" s="28"/>
      <c r="AF30" s="26"/>
      <c r="AG30" s="9"/>
      <c r="AH30" s="9"/>
      <c r="AI30" s="9"/>
      <c r="AJ30" s="10"/>
      <c r="AK30" s="11"/>
      <c r="AL30" s="9"/>
      <c r="AM30" s="9"/>
      <c r="AN30" s="9"/>
      <c r="AO30" s="9"/>
      <c r="AP30" s="10"/>
      <c r="AQ30" s="11"/>
      <c r="AR30" s="9"/>
      <c r="AS30" s="9"/>
      <c r="AT30" s="9"/>
      <c r="AU30" s="9"/>
      <c r="AV30" s="10"/>
      <c r="AW30" s="11"/>
      <c r="AX30" s="9"/>
      <c r="AY30" s="9"/>
      <c r="AZ30" s="9"/>
      <c r="BA30" s="9"/>
      <c r="BB30" s="10"/>
      <c r="BC30" s="11"/>
      <c r="BD30" s="9"/>
      <c r="BE30" s="9"/>
      <c r="BF30" s="9"/>
      <c r="BG30" s="9"/>
      <c r="BH30" s="10"/>
      <c r="BI30" s="11"/>
      <c r="BJ30" s="9"/>
      <c r="BK30" s="9"/>
      <c r="BL30" s="9"/>
      <c r="BM30" s="9"/>
      <c r="BN30" s="10"/>
      <c r="BO30" s="9"/>
      <c r="BP30" s="9"/>
      <c r="BQ30" s="9"/>
      <c r="BR30" s="9"/>
      <c r="BS30" s="9"/>
      <c r="BT30" s="12"/>
    </row>
    <row r="31" spans="2:72">
      <c r="B31" s="46" t="s">
        <v>46</v>
      </c>
      <c r="C31" s="17" t="n">
        <v>4</v>
      </c>
      <c r="D31" s="21" t="n">
        <v>8</v>
      </c>
      <c r="E31" s="48"/>
      <c r="F31" s="49"/>
      <c r="G31" s="49"/>
      <c r="H31" s="49"/>
      <c r="I31" s="49"/>
      <c r="J31" s="49"/>
      <c r="K31" s="49"/>
      <c r="L31" s="50"/>
      <c r="M31" s="41">
        <f>SUM(E31:L31)</f>
        <v>0</v>
      </c>
      <c r="N31" s="49"/>
      <c r="O31" s="49"/>
      <c r="P31" s="49"/>
      <c r="Q31" s="49"/>
      <c r="R31" s="49"/>
      <c r="S31" s="49"/>
      <c r="T31" s="49"/>
      <c r="U31" s="49"/>
      <c r="V31" s="49"/>
      <c r="W31" s="49"/>
      <c r="X31" s="41">
        <f>SUM(N31:W31)</f>
        <v>0</v>
      </c>
      <c r="Y31" s="13"/>
      <c r="Z31" s="13"/>
      <c r="AA31" s="13"/>
      <c r="AB31" s="29"/>
      <c r="AC31" s="29"/>
      <c r="AD31" s="30"/>
      <c r="AE31" s="31"/>
      <c r="AF31" s="29"/>
      <c r="AG31" s="13"/>
      <c r="AH31" s="13"/>
      <c r="AI31" s="13"/>
      <c r="AJ31" s="14"/>
      <c r="AK31" s="15"/>
      <c r="AL31" s="13"/>
      <c r="AM31" s="13"/>
      <c r="AN31" s="13"/>
      <c r="AO31" s="13"/>
      <c r="AP31" s="14"/>
      <c r="AQ31" s="15"/>
      <c r="AR31" s="13"/>
      <c r="AS31" s="13"/>
      <c r="AT31" s="13"/>
      <c r="AU31" s="13"/>
      <c r="AV31" s="14"/>
      <c r="AW31" s="15"/>
      <c r="AX31" s="13"/>
      <c r="AY31" s="13"/>
      <c r="AZ31" s="13"/>
      <c r="BA31" s="13"/>
      <c r="BB31" s="14"/>
      <c r="BC31" s="15"/>
      <c r="BD31" s="13"/>
      <c r="BE31" s="13"/>
      <c r="BF31" s="13"/>
      <c r="BG31" s="13"/>
      <c r="BH31" s="14"/>
      <c r="BI31" s="15"/>
      <c r="BJ31" s="13"/>
      <c r="BK31" s="13"/>
      <c r="BL31" s="13"/>
      <c r="BM31" s="13"/>
      <c r="BN31" s="14"/>
      <c r="BO31" s="13"/>
      <c r="BP31" s="13"/>
      <c r="BQ31" s="13"/>
      <c r="BR31" s="13"/>
      <c r="BS31" s="13"/>
      <c r="BT31" s="16"/>
    </row>
    <row r="32" spans="2:72">
      <c r="B32" s="47" t="s">
        <v>47</v>
      </c>
      <c r="C32" s="17"/>
      <c r="D32" s="21"/>
      <c r="E32" s="51"/>
      <c r="F32" s="52"/>
      <c r="G32" s="52"/>
      <c r="H32" s="52"/>
      <c r="I32" s="52"/>
      <c r="J32" s="52"/>
      <c r="K32" s="52"/>
      <c r="L32" s="52"/>
      <c r="M32" s="42"/>
      <c r="N32" s="52"/>
      <c r="O32" s="52"/>
      <c r="P32" s="52"/>
      <c r="Q32" s="52"/>
      <c r="R32" s="52"/>
      <c r="S32" s="52"/>
      <c r="T32" s="52"/>
      <c r="U32" s="52"/>
      <c r="V32" s="52"/>
      <c r="W32" s="52"/>
      <c r="X32" s="42"/>
      <c r="Y32" s="13"/>
      <c r="Z32" s="13"/>
      <c r="AA32" s="13"/>
      <c r="AB32" s="13"/>
      <c r="AC32" s="13"/>
      <c r="AD32" s="14"/>
      <c r="AE32" s="15"/>
      <c r="AF32" s="13"/>
      <c r="AG32" s="13"/>
      <c r="AH32" s="13"/>
      <c r="AI32" s="13"/>
      <c r="AJ32" s="14"/>
      <c r="AK32" s="15"/>
      <c r="AL32" s="13"/>
      <c r="AM32" s="13"/>
      <c r="AN32" s="13"/>
      <c r="AO32" s="13"/>
      <c r="AP32" s="14"/>
      <c r="AQ32" s="15"/>
      <c r="AR32" s="13"/>
      <c r="AS32" s="13"/>
      <c r="AT32" s="13"/>
      <c r="AU32" s="13"/>
      <c r="AV32" s="14"/>
      <c r="AW32" s="15"/>
      <c r="AX32" s="13"/>
      <c r="AY32" s="13"/>
      <c r="AZ32" s="13"/>
      <c r="BA32" s="13"/>
      <c r="BB32" s="14"/>
      <c r="BC32" s="15"/>
      <c r="BD32" s="13"/>
      <c r="BE32" s="13"/>
      <c r="BF32" s="13"/>
      <c r="BG32" s="13"/>
      <c r="BH32" s="14"/>
      <c r="BI32" s="15"/>
      <c r="BJ32" s="13"/>
      <c r="BK32" s="13"/>
      <c r="BL32" s="13"/>
      <c r="BM32" s="13"/>
      <c r="BN32" s="14"/>
      <c r="BO32" s="13"/>
      <c r="BP32" s="13"/>
      <c r="BQ32" s="13"/>
      <c r="BR32" s="13"/>
      <c r="BS32" s="13"/>
      <c r="BT32" s="16"/>
    </row>
    <row r="33" spans="2:72">
      <c r="B33" s="47" t="s">
        <v>48</v>
      </c>
      <c r="C33" s="17"/>
      <c r="D33" s="21"/>
      <c r="E33" s="51"/>
      <c r="F33" s="52"/>
      <c r="G33" s="52"/>
      <c r="H33" s="52"/>
      <c r="I33" s="52"/>
      <c r="J33" s="52"/>
      <c r="K33" s="52"/>
      <c r="L33" s="52"/>
      <c r="M33" s="42"/>
      <c r="N33" s="52"/>
      <c r="O33" s="52"/>
      <c r="P33" s="52"/>
      <c r="Q33" s="52"/>
      <c r="R33" s="52"/>
      <c r="S33" s="52"/>
      <c r="T33" s="52"/>
      <c r="U33" s="52"/>
      <c r="V33" s="52"/>
      <c r="W33" s="52"/>
      <c r="X33" s="42"/>
      <c r="Y33" s="13"/>
      <c r="Z33" s="13"/>
      <c r="AA33" s="13"/>
      <c r="AB33" s="13"/>
      <c r="AC33" s="13"/>
      <c r="AD33" s="14"/>
      <c r="AE33" s="15"/>
      <c r="AF33" s="13"/>
      <c r="AG33" s="13"/>
      <c r="AH33" s="13"/>
      <c r="AI33" s="13"/>
      <c r="AJ33" s="14"/>
      <c r="AK33" s="15"/>
      <c r="AL33" s="13"/>
      <c r="AM33" s="13"/>
      <c r="AN33" s="13"/>
      <c r="AO33" s="13"/>
      <c r="AP33" s="14"/>
      <c r="AQ33" s="15"/>
      <c r="AR33" s="13"/>
      <c r="AS33" s="13"/>
      <c r="AT33" s="13"/>
      <c r="AU33" s="13"/>
      <c r="AV33" s="14"/>
      <c r="AW33" s="15"/>
      <c r="AX33" s="13"/>
      <c r="AY33" s="13"/>
      <c r="AZ33" s="13"/>
      <c r="BA33" s="13"/>
      <c r="BB33" s="14"/>
      <c r="BC33" s="15"/>
      <c r="BD33" s="13"/>
      <c r="BE33" s="13"/>
      <c r="BF33" s="13"/>
      <c r="BG33" s="13"/>
      <c r="BH33" s="14"/>
      <c r="BI33" s="15"/>
      <c r="BJ33" s="13"/>
      <c r="BK33" s="13"/>
      <c r="BL33" s="13"/>
      <c r="BM33" s="13"/>
      <c r="BN33" s="14"/>
      <c r="BO33" s="13"/>
      <c r="BP33" s="13"/>
      <c r="BQ33" s="13"/>
      <c r="BR33" s="13"/>
      <c r="BS33" s="13"/>
      <c r="BT33" s="16"/>
    </row>
    <row r="34" spans="2:72">
      <c r="B34" s="46" t="s">
        <v>49</v>
      </c>
      <c r="C34" s="17"/>
      <c r="D34" s="21"/>
      <c r="E34" s="48"/>
      <c r="F34" s="49"/>
      <c r="G34" s="49"/>
      <c r="H34" s="49"/>
      <c r="I34" s="49"/>
      <c r="J34" s="49"/>
      <c r="K34" s="49"/>
      <c r="L34" s="50"/>
      <c r="M34" s="41">
        <f>SUM(E34:L34)</f>
        <v>0</v>
      </c>
      <c r="N34" s="49"/>
      <c r="O34" s="49"/>
      <c r="P34" s="49"/>
      <c r="Q34" s="49"/>
      <c r="R34" s="49"/>
      <c r="S34" s="49"/>
      <c r="T34" s="49"/>
      <c r="U34" s="49"/>
      <c r="V34" s="49"/>
      <c r="W34" s="49"/>
      <c r="X34" s="41">
        <f>SUM(N34:W34)</f>
        <v>0</v>
      </c>
      <c r="Y34" s="13"/>
      <c r="Z34" s="13"/>
      <c r="AA34" s="13"/>
      <c r="AB34" s="13"/>
      <c r="AC34" s="13"/>
      <c r="AD34" s="14"/>
      <c r="AE34" s="15"/>
      <c r="AF34" s="13"/>
      <c r="AG34" s="13"/>
      <c r="AH34" s="13"/>
      <c r="AI34" s="13"/>
      <c r="AJ34" s="14"/>
      <c r="AK34" s="15"/>
      <c r="AL34" s="13"/>
      <c r="AM34" s="13"/>
      <c r="AN34" s="13"/>
      <c r="AO34" s="13"/>
      <c r="AP34" s="14"/>
      <c r="AQ34" s="15"/>
      <c r="AR34" s="13"/>
      <c r="AS34" s="13"/>
      <c r="AT34" s="13"/>
      <c r="AU34" s="13"/>
      <c r="AV34" s="14"/>
      <c r="AW34" s="15"/>
      <c r="AX34" s="13"/>
      <c r="AY34" s="13"/>
      <c r="AZ34" s="13"/>
      <c r="BA34" s="13"/>
      <c r="BB34" s="14"/>
      <c r="BC34" s="15"/>
      <c r="BD34" s="13"/>
      <c r="BE34" s="13"/>
      <c r="BF34" s="13"/>
      <c r="BG34" s="13"/>
      <c r="BH34" s="14"/>
      <c r="BI34" s="15"/>
      <c r="BJ34" s="13"/>
      <c r="BK34" s="13"/>
      <c r="BL34" s="13"/>
      <c r="BM34" s="13"/>
      <c r="BN34" s="14"/>
      <c r="BO34" s="13"/>
      <c r="BP34" s="13"/>
      <c r="BQ34" s="13"/>
      <c r="BR34" s="13"/>
      <c r="BS34" s="13"/>
      <c r="BT34" s="16"/>
    </row>
    <row r="35" spans="2:72">
      <c r="B35" s="47" t="s">
        <v>50</v>
      </c>
      <c r="C35" s="17"/>
      <c r="D35" s="21"/>
      <c r="E35" s="51"/>
      <c r="F35" s="52"/>
      <c r="G35" s="52"/>
      <c r="H35" s="52"/>
      <c r="I35" s="52"/>
      <c r="J35" s="52"/>
      <c r="K35" s="52"/>
      <c r="L35" s="52"/>
      <c r="M35" s="42"/>
      <c r="N35" s="52"/>
      <c r="O35" s="52"/>
      <c r="P35" s="52"/>
      <c r="Q35" s="52"/>
      <c r="R35" s="52"/>
      <c r="S35" s="52"/>
      <c r="T35" s="52"/>
      <c r="U35" s="52"/>
      <c r="V35" s="52"/>
      <c r="W35" s="52"/>
      <c r="X35" s="42"/>
      <c r="Y35" s="13"/>
      <c r="Z35" s="13"/>
      <c r="AA35" s="13"/>
      <c r="AB35" s="13"/>
      <c r="AC35" s="13"/>
      <c r="AD35" s="14"/>
      <c r="AE35" s="15"/>
      <c r="AF35" s="13"/>
      <c r="AG35" s="13"/>
      <c r="AH35" s="13"/>
      <c r="AI35" s="13"/>
      <c r="AJ35" s="14"/>
      <c r="AK35" s="15"/>
      <c r="AL35" s="13"/>
      <c r="AM35" s="13"/>
      <c r="AN35" s="13"/>
      <c r="AO35" s="13"/>
      <c r="AP35" s="14"/>
      <c r="AQ35" s="15"/>
      <c r="AR35" s="13"/>
      <c r="AS35" s="13"/>
      <c r="AT35" s="13"/>
      <c r="AU35" s="13"/>
      <c r="AV35" s="14"/>
      <c r="AW35" s="15"/>
      <c r="AX35" s="13"/>
      <c r="AY35" s="13"/>
      <c r="AZ35" s="13"/>
      <c r="BA35" s="13"/>
      <c r="BB35" s="14"/>
      <c r="BC35" s="15"/>
      <c r="BD35" s="13"/>
      <c r="BE35" s="13"/>
      <c r="BF35" s="13"/>
      <c r="BG35" s="13"/>
      <c r="BH35" s="14"/>
      <c r="BI35" s="15"/>
      <c r="BJ35" s="13"/>
      <c r="BK35" s="13"/>
      <c r="BL35" s="13"/>
      <c r="BM35" s="13"/>
      <c r="BN35" s="14"/>
      <c r="BO35" s="13"/>
      <c r="BP35" s="13"/>
      <c r="BQ35" s="13"/>
      <c r="BR35" s="13"/>
      <c r="BS35" s="13"/>
      <c r="BT35" s="16"/>
    </row>
    <row r="36" spans="2:72">
      <c r="B36" s="47" t="s">
        <v>51</v>
      </c>
      <c r="C36" s="17"/>
      <c r="D36" s="21"/>
      <c r="E36" s="51"/>
      <c r="F36" s="52"/>
      <c r="G36" s="52"/>
      <c r="H36" s="52"/>
      <c r="I36" s="52"/>
      <c r="J36" s="52"/>
      <c r="K36" s="52"/>
      <c r="L36" s="52"/>
      <c r="M36" s="42"/>
      <c r="N36" s="52"/>
      <c r="O36" s="52"/>
      <c r="P36" s="52"/>
      <c r="Q36" s="52"/>
      <c r="R36" s="52"/>
      <c r="S36" s="52"/>
      <c r="T36" s="52"/>
      <c r="U36" s="52"/>
      <c r="V36" s="52"/>
      <c r="W36" s="52"/>
      <c r="X36" s="42"/>
      <c r="Y36" s="13"/>
      <c r="Z36" s="13"/>
      <c r="AA36" s="13"/>
      <c r="AB36" s="13"/>
      <c r="AC36" s="13"/>
      <c r="AD36" s="14"/>
      <c r="AE36" s="15"/>
      <c r="AF36" s="13"/>
      <c r="AG36" s="13"/>
      <c r="AH36" s="13"/>
      <c r="AI36" s="13"/>
      <c r="AJ36" s="14"/>
      <c r="AK36" s="15"/>
      <c r="AL36" s="13"/>
      <c r="AM36" s="13"/>
      <c r="AN36" s="13"/>
      <c r="AO36" s="13"/>
      <c r="AP36" s="14"/>
      <c r="AQ36" s="15"/>
      <c r="AR36" s="13"/>
      <c r="AS36" s="13"/>
      <c r="AT36" s="13"/>
      <c r="AU36" s="13"/>
      <c r="AV36" s="14"/>
      <c r="AW36" s="15"/>
      <c r="AX36" s="13"/>
      <c r="AY36" s="13"/>
      <c r="AZ36" s="13"/>
      <c r="BA36" s="13"/>
      <c r="BB36" s="14"/>
      <c r="BC36" s="15"/>
      <c r="BD36" s="13"/>
      <c r="BE36" s="13"/>
      <c r="BF36" s="13"/>
      <c r="BG36" s="13"/>
      <c r="BH36" s="14"/>
      <c r="BI36" s="15"/>
      <c r="BJ36" s="13"/>
      <c r="BK36" s="13"/>
      <c r="BL36" s="13"/>
      <c r="BM36" s="13"/>
      <c r="BN36" s="14"/>
      <c r="BO36" s="13"/>
      <c r="BP36" s="13"/>
      <c r="BQ36" s="13"/>
      <c r="BR36" s="13"/>
      <c r="BS36" s="13"/>
      <c r="BT36" s="16"/>
    </row>
    <row r="37" spans="2:72">
      <c r="B37" s="46" t="s">
        <v>52</v>
      </c>
      <c r="C37" s="17"/>
      <c r="D37" s="21"/>
      <c r="E37" s="48"/>
      <c r="F37" s="49"/>
      <c r="G37" s="49"/>
      <c r="H37" s="49"/>
      <c r="I37" s="49"/>
      <c r="J37" s="49"/>
      <c r="K37" s="49"/>
      <c r="L37" s="50"/>
      <c r="M37" s="41">
        <f>SUM(E37:L37)</f>
        <v>0</v>
      </c>
      <c r="N37" s="49"/>
      <c r="O37" s="49"/>
      <c r="P37" s="49"/>
      <c r="Q37" s="49"/>
      <c r="R37" s="49"/>
      <c r="S37" s="49"/>
      <c r="T37" s="49"/>
      <c r="U37" s="49"/>
      <c r="V37" s="49"/>
      <c r="W37" s="49"/>
      <c r="X37" s="41">
        <f>SUM(N37:W37)</f>
        <v>0</v>
      </c>
      <c r="Y37" s="13"/>
      <c r="Z37" s="13"/>
      <c r="AA37" s="13"/>
      <c r="AB37" s="13"/>
      <c r="AC37" s="13"/>
      <c r="AD37" s="14"/>
      <c r="AE37" s="15"/>
      <c r="AF37" s="13"/>
      <c r="AG37" s="13"/>
      <c r="AH37" s="13"/>
      <c r="AI37" s="13"/>
      <c r="AJ37" s="14"/>
      <c r="AK37" s="15"/>
      <c r="AL37" s="13"/>
      <c r="AM37" s="13"/>
      <c r="AN37" s="13"/>
      <c r="AO37" s="13"/>
      <c r="AP37" s="14"/>
      <c r="AQ37" s="15"/>
      <c r="AR37" s="13"/>
      <c r="AS37" s="13"/>
      <c r="AT37" s="13"/>
      <c r="AU37" s="13"/>
      <c r="AV37" s="14"/>
      <c r="AW37" s="15"/>
      <c r="AX37" s="13"/>
      <c r="AY37" s="13"/>
      <c r="AZ37" s="13"/>
      <c r="BA37" s="13"/>
      <c r="BB37" s="14"/>
      <c r="BC37" s="15"/>
      <c r="BD37" s="13"/>
      <c r="BE37" s="13"/>
      <c r="BF37" s="13"/>
      <c r="BG37" s="13"/>
      <c r="BH37" s="14"/>
      <c r="BI37" s="15"/>
      <c r="BJ37" s="13"/>
      <c r="BK37" s="13"/>
      <c r="BL37" s="13"/>
      <c r="BM37" s="13"/>
      <c r="BN37" s="14"/>
      <c r="BO37" s="13"/>
      <c r="BP37" s="13"/>
      <c r="BQ37" s="13"/>
      <c r="BR37" s="13"/>
      <c r="BS37" s="13"/>
      <c r="BT37" s="16"/>
    </row>
    <row r="38" spans="2:72">
      <c r="B38" s="47" t="s">
        <v>53</v>
      </c>
      <c r="C38" s="17"/>
      <c r="D38" s="21"/>
      <c r="E38" s="51"/>
      <c r="F38" s="52"/>
      <c r="G38" s="52"/>
      <c r="H38" s="52"/>
      <c r="I38" s="52"/>
      <c r="J38" s="52"/>
      <c r="K38" s="52"/>
      <c r="L38" s="52"/>
      <c r="M38" s="42"/>
      <c r="N38" s="52"/>
      <c r="O38" s="52"/>
      <c r="P38" s="52"/>
      <c r="Q38" s="52"/>
      <c r="R38" s="52"/>
      <c r="S38" s="52"/>
      <c r="T38" s="52"/>
      <c r="U38" s="52"/>
      <c r="V38" s="52"/>
      <c r="W38" s="52"/>
      <c r="X38" s="42"/>
      <c r="Y38" s="13"/>
      <c r="Z38" s="13"/>
      <c r="AA38" s="13"/>
      <c r="AB38" s="13"/>
      <c r="AC38" s="13"/>
      <c r="AD38" s="14"/>
      <c r="AE38" s="15"/>
      <c r="AF38" s="13"/>
      <c r="AG38" s="13"/>
      <c r="AH38" s="13"/>
      <c r="AI38" s="13"/>
      <c r="AJ38" s="14"/>
      <c r="AK38" s="15"/>
      <c r="AL38" s="13"/>
      <c r="AM38" s="13"/>
      <c r="AN38" s="13"/>
      <c r="AO38" s="13"/>
      <c r="AP38" s="14"/>
      <c r="AQ38" s="15"/>
      <c r="AR38" s="13"/>
      <c r="AS38" s="13"/>
      <c r="AT38" s="13"/>
      <c r="AU38" s="13"/>
      <c r="AV38" s="14"/>
      <c r="AW38" s="15"/>
      <c r="AX38" s="13"/>
      <c r="AY38" s="13"/>
      <c r="AZ38" s="13"/>
      <c r="BA38" s="13"/>
      <c r="BB38" s="14"/>
      <c r="BC38" s="15"/>
      <c r="BD38" s="13"/>
      <c r="BE38" s="13"/>
      <c r="BF38" s="13"/>
      <c r="BG38" s="13"/>
      <c r="BH38" s="14"/>
      <c r="BI38" s="15"/>
      <c r="BJ38" s="13"/>
      <c r="BK38" s="13"/>
      <c r="BL38" s="13"/>
      <c r="BM38" s="13"/>
      <c r="BN38" s="14"/>
      <c r="BO38" s="13"/>
      <c r="BP38" s="13"/>
      <c r="BQ38" s="13"/>
      <c r="BR38" s="13"/>
      <c r="BS38" s="13"/>
      <c r="BT38" s="16"/>
    </row>
    <row r="39" spans="2:72">
      <c r="B39" s="47" t="s">
        <v>54</v>
      </c>
      <c r="C39" s="17"/>
      <c r="D39" s="21"/>
      <c r="E39" s="51"/>
      <c r="F39" s="52"/>
      <c r="G39" s="52"/>
      <c r="H39" s="52"/>
      <c r="I39" s="52"/>
      <c r="J39" s="52"/>
      <c r="K39" s="52"/>
      <c r="L39" s="52"/>
      <c r="M39" s="42"/>
      <c r="N39" s="52"/>
      <c r="O39" s="52"/>
      <c r="P39" s="52"/>
      <c r="Q39" s="52"/>
      <c r="R39" s="52"/>
      <c r="S39" s="52"/>
      <c r="T39" s="52"/>
      <c r="U39" s="52"/>
      <c r="V39" s="52"/>
      <c r="W39" s="52"/>
      <c r="X39" s="42"/>
      <c r="Y39" s="13"/>
      <c r="Z39" s="13"/>
      <c r="AA39" s="13"/>
      <c r="AB39" s="13"/>
      <c r="AC39" s="13"/>
      <c r="AD39" s="14"/>
      <c r="AE39" s="15"/>
      <c r="AF39" s="13"/>
      <c r="AG39" s="13"/>
      <c r="AH39" s="13"/>
      <c r="AI39" s="13"/>
      <c r="AJ39" s="14"/>
      <c r="AK39" s="15"/>
      <c r="AL39" s="13"/>
      <c r="AM39" s="13"/>
      <c r="AN39" s="13"/>
      <c r="AO39" s="13"/>
      <c r="AP39" s="14"/>
      <c r="AQ39" s="15"/>
      <c r="AR39" s="13"/>
      <c r="AS39" s="13"/>
      <c r="AT39" s="13"/>
      <c r="AU39" s="13"/>
      <c r="AV39" s="14"/>
      <c r="AW39" s="15"/>
      <c r="AX39" s="13"/>
      <c r="AY39" s="13"/>
      <c r="AZ39" s="13"/>
      <c r="BA39" s="13"/>
      <c r="BB39" s="14"/>
      <c r="BC39" s="15"/>
      <c r="BD39" s="13"/>
      <c r="BE39" s="13"/>
      <c r="BF39" s="13"/>
      <c r="BG39" s="13"/>
      <c r="BH39" s="14"/>
      <c r="BI39" s="15"/>
      <c r="BJ39" s="13"/>
      <c r="BK39" s="13"/>
      <c r="BL39" s="13"/>
      <c r="BM39" s="13"/>
      <c r="BN39" s="14"/>
      <c r="BO39" s="13"/>
      <c r="BP39" s="13"/>
      <c r="BQ39" s="13"/>
      <c r="BR39" s="13"/>
      <c r="BS39" s="13"/>
      <c r="BT39" s="16"/>
    </row>
    <row r="40" spans="2:72">
      <c r="B40" s="46" t="s">
        <v>55</v>
      </c>
      <c r="C40" s="17"/>
      <c r="D40" s="21"/>
      <c r="E40" s="48"/>
      <c r="F40" s="49"/>
      <c r="G40" s="49"/>
      <c r="H40" s="49"/>
      <c r="I40" s="49"/>
      <c r="J40" s="49"/>
      <c r="K40" s="49"/>
      <c r="L40" s="50"/>
      <c r="M40" s="41">
        <f>SUM(E40:L40)</f>
        <v>0</v>
      </c>
      <c r="N40" s="49"/>
      <c r="O40" s="49"/>
      <c r="P40" s="49"/>
      <c r="Q40" s="49"/>
      <c r="R40" s="49"/>
      <c r="S40" s="49"/>
      <c r="T40" s="49"/>
      <c r="U40" s="49"/>
      <c r="V40" s="49"/>
      <c r="W40" s="49"/>
      <c r="X40" s="41">
        <f>SUM(N40:W40)</f>
        <v>0</v>
      </c>
      <c r="Y40" s="13"/>
      <c r="Z40" s="13"/>
      <c r="AA40" s="13"/>
      <c r="AB40" s="13"/>
      <c r="AC40" s="13"/>
      <c r="AD40" s="14"/>
      <c r="AE40" s="15"/>
      <c r="AF40" s="13"/>
      <c r="AG40" s="13"/>
      <c r="AH40" s="13"/>
      <c r="AI40" s="13"/>
      <c r="AJ40" s="14"/>
      <c r="AK40" s="15"/>
      <c r="AL40" s="13"/>
      <c r="AM40" s="13"/>
      <c r="AN40" s="13"/>
      <c r="AO40" s="13"/>
      <c r="AP40" s="14"/>
      <c r="AQ40" s="15"/>
      <c r="AR40" s="13"/>
      <c r="AS40" s="13"/>
      <c r="AT40" s="13"/>
      <c r="AU40" s="13"/>
      <c r="AV40" s="14"/>
      <c r="AW40" s="15"/>
      <c r="AX40" s="13"/>
      <c r="AY40" s="13"/>
      <c r="AZ40" s="13"/>
      <c r="BA40" s="13"/>
      <c r="BB40" s="14"/>
      <c r="BC40" s="15"/>
      <c r="BD40" s="13"/>
      <c r="BE40" s="13"/>
      <c r="BF40" s="13"/>
      <c r="BG40" s="13"/>
      <c r="BH40" s="14"/>
      <c r="BI40" s="15"/>
      <c r="BJ40" s="13"/>
      <c r="BK40" s="13"/>
      <c r="BL40" s="13"/>
      <c r="BM40" s="13"/>
      <c r="BN40" s="14"/>
      <c r="BO40" s="13"/>
      <c r="BP40" s="13"/>
      <c r="BQ40" s="13"/>
      <c r="BR40" s="13"/>
      <c r="BS40" s="13"/>
      <c r="BT40" s="16"/>
    </row>
    <row r="41" spans="2:72">
      <c r="B41" s="47" t="s">
        <v>56</v>
      </c>
      <c r="C41" s="17"/>
      <c r="D41" s="21"/>
      <c r="E41" s="51"/>
      <c r="F41" s="52"/>
      <c r="G41" s="52"/>
      <c r="H41" s="52"/>
      <c r="I41" s="52"/>
      <c r="J41" s="52"/>
      <c r="K41" s="52"/>
      <c r="L41" s="52"/>
      <c r="M41" s="42"/>
      <c r="N41" s="52"/>
      <c r="O41" s="52"/>
      <c r="P41" s="52"/>
      <c r="Q41" s="52"/>
      <c r="R41" s="52"/>
      <c r="S41" s="52"/>
      <c r="T41" s="52"/>
      <c r="U41" s="52"/>
      <c r="V41" s="52"/>
      <c r="W41" s="52"/>
      <c r="X41" s="42"/>
      <c r="Y41" s="13"/>
      <c r="Z41" s="13"/>
      <c r="AA41" s="13"/>
      <c r="AB41" s="13"/>
      <c r="AC41" s="13"/>
      <c r="AD41" s="14"/>
      <c r="AE41" s="15"/>
      <c r="AF41" s="13"/>
      <c r="AG41" s="13"/>
      <c r="AH41" s="13"/>
      <c r="AI41" s="13"/>
      <c r="AJ41" s="14"/>
      <c r="AK41" s="15"/>
      <c r="AL41" s="13"/>
      <c r="AM41" s="13"/>
      <c r="AN41" s="13"/>
      <c r="AO41" s="13"/>
      <c r="AP41" s="14"/>
      <c r="AQ41" s="15"/>
      <c r="AR41" s="13"/>
      <c r="AS41" s="13"/>
      <c r="AT41" s="13"/>
      <c r="AU41" s="13"/>
      <c r="AV41" s="14"/>
      <c r="AW41" s="15"/>
      <c r="AX41" s="13"/>
      <c r="AY41" s="13"/>
      <c r="AZ41" s="13"/>
      <c r="BA41" s="13"/>
      <c r="BB41" s="14"/>
      <c r="BC41" s="15"/>
      <c r="BD41" s="13"/>
      <c r="BE41" s="13"/>
      <c r="BF41" s="13"/>
      <c r="BG41" s="13"/>
      <c r="BH41" s="14"/>
      <c r="BI41" s="15"/>
      <c r="BJ41" s="13"/>
      <c r="BK41" s="13"/>
      <c r="BL41" s="13"/>
      <c r="BM41" s="13"/>
      <c r="BN41" s="14"/>
      <c r="BO41" s="13"/>
      <c r="BP41" s="13"/>
      <c r="BQ41" s="13"/>
      <c r="BR41" s="13"/>
      <c r="BS41" s="13"/>
      <c r="BT41" s="16"/>
    </row>
    <row r="42" spans="2:72">
      <c r="B42" s="47" t="s">
        <v>57</v>
      </c>
      <c r="C42" s="17"/>
      <c r="D42" s="21"/>
      <c r="E42" s="51"/>
      <c r="F42" s="52"/>
      <c r="G42" s="52"/>
      <c r="H42" s="52"/>
      <c r="I42" s="52"/>
      <c r="J42" s="52"/>
      <c r="K42" s="52"/>
      <c r="L42" s="52"/>
      <c r="M42" s="42"/>
      <c r="N42" s="52"/>
      <c r="O42" s="52"/>
      <c r="P42" s="52"/>
      <c r="Q42" s="52"/>
      <c r="R42" s="52"/>
      <c r="S42" s="52"/>
      <c r="T42" s="52"/>
      <c r="U42" s="52"/>
      <c r="V42" s="52"/>
      <c r="W42" s="52"/>
      <c r="X42" s="42"/>
      <c r="Y42" s="13"/>
      <c r="Z42" s="13"/>
      <c r="AA42" s="13"/>
      <c r="AB42" s="13"/>
      <c r="AC42" s="13"/>
      <c r="AD42" s="14"/>
      <c r="AE42" s="15"/>
      <c r="AF42" s="13"/>
      <c r="AG42" s="13"/>
      <c r="AH42" s="13"/>
      <c r="AI42" s="13"/>
      <c r="AJ42" s="14"/>
      <c r="AK42" s="15"/>
      <c r="AL42" s="13"/>
      <c r="AM42" s="13"/>
      <c r="AN42" s="13"/>
      <c r="AO42" s="13"/>
      <c r="AP42" s="14"/>
      <c r="AQ42" s="15"/>
      <c r="AR42" s="13"/>
      <c r="AS42" s="13"/>
      <c r="AT42" s="13"/>
      <c r="AU42" s="13"/>
      <c r="AV42" s="14"/>
      <c r="AW42" s="15"/>
      <c r="AX42" s="13"/>
      <c r="AY42" s="13"/>
      <c r="AZ42" s="13"/>
      <c r="BA42" s="13"/>
      <c r="BB42" s="14"/>
      <c r="BC42" s="15"/>
      <c r="BD42" s="13"/>
      <c r="BE42" s="13"/>
      <c r="BF42" s="13"/>
      <c r="BG42" s="13"/>
      <c r="BH42" s="14"/>
      <c r="BI42" s="15"/>
      <c r="BJ42" s="13"/>
      <c r="BK42" s="13"/>
      <c r="BL42" s="13"/>
      <c r="BM42" s="13"/>
      <c r="BN42" s="14"/>
      <c r="BO42" s="13"/>
      <c r="BP42" s="13"/>
      <c r="BQ42" s="13"/>
      <c r="BR42" s="13"/>
      <c r="BS42" s="13"/>
      <c r="BT42" s="16"/>
    </row>
    <row r="43" spans="2:72">
      <c r="B43" s="46" t="s">
        <v>58</v>
      </c>
      <c r="C43" s="17" t="n">
        <v>13</v>
      </c>
      <c r="D43" s="21" t="n">
        <v>18</v>
      </c>
      <c r="E43" s="48"/>
      <c r="F43" s="49"/>
      <c r="G43" s="49"/>
      <c r="H43" s="49"/>
      <c r="I43" s="49"/>
      <c r="J43" s="49"/>
      <c r="K43" s="49"/>
      <c r="L43" s="50"/>
      <c r="M43" s="41">
        <f>SUM(E43:L43)</f>
        <v>0</v>
      </c>
      <c r="N43" s="49"/>
      <c r="O43" s="49"/>
      <c r="P43" s="49"/>
      <c r="Q43" s="49"/>
      <c r="R43" s="49"/>
      <c r="S43" s="49"/>
      <c r="T43" s="49"/>
      <c r="U43" s="49"/>
      <c r="V43" s="49"/>
      <c r="W43" s="49"/>
      <c r="X43" s="41">
        <f>SUM(N43:W43)</f>
        <v>0</v>
      </c>
      <c r="Y43" s="13"/>
      <c r="Z43" s="13"/>
      <c r="AA43" s="13"/>
      <c r="AB43" s="13"/>
      <c r="AC43" s="13"/>
      <c r="AD43" s="14"/>
      <c r="AE43" s="15"/>
      <c r="AF43" s="13"/>
      <c r="AG43" s="13"/>
      <c r="AH43" s="13"/>
      <c r="AI43" s="13"/>
      <c r="AJ43" s="32"/>
      <c r="AK43" s="31"/>
      <c r="AL43" s="29"/>
      <c r="AM43" s="29"/>
      <c r="AN43" s="29"/>
      <c r="AO43" s="29"/>
      <c r="AP43" s="30"/>
      <c r="AQ43" s="15"/>
      <c r="AR43" s="13"/>
      <c r="AS43" s="13"/>
      <c r="AT43" s="13"/>
      <c r="AU43" s="13"/>
      <c r="AV43" s="14"/>
      <c r="AW43" s="15"/>
      <c r="AX43" s="13"/>
      <c r="AY43" s="13"/>
      <c r="AZ43" s="13"/>
      <c r="BA43" s="13"/>
      <c r="BB43" s="14"/>
      <c r="BC43" s="15"/>
      <c r="BD43" s="13"/>
      <c r="BE43" s="13"/>
      <c r="BF43" s="13"/>
      <c r="BG43" s="13"/>
      <c r="BH43" s="14"/>
      <c r="BI43" s="15"/>
      <c r="BJ43" s="13"/>
      <c r="BK43" s="13"/>
      <c r="BL43" s="13"/>
      <c r="BM43" s="13"/>
      <c r="BN43" s="14"/>
      <c r="BO43" s="13"/>
      <c r="BP43" s="13"/>
      <c r="BQ43" s="13"/>
      <c r="BR43" s="13"/>
      <c r="BS43" s="13"/>
      <c r="BT43" s="16"/>
    </row>
    <row r="44" spans="2:72">
      <c r="B44" s="47" t="s">
        <v>59</v>
      </c>
      <c r="C44" s="17" t="n">
        <v>15</v>
      </c>
      <c r="D44" s="21" t="n">
        <v>15</v>
      </c>
      <c r="E44" s="51"/>
      <c r="F44" s="52"/>
      <c r="G44" s="52"/>
      <c r="H44" s="52"/>
      <c r="I44" s="52"/>
      <c r="J44" s="52"/>
      <c r="K44" s="52"/>
      <c r="L44" s="52"/>
      <c r="M44" s="42"/>
      <c r="N44" s="52"/>
      <c r="O44" s="52"/>
      <c r="P44" s="52"/>
      <c r="Q44" s="52"/>
      <c r="R44" s="52"/>
      <c r="S44" s="52"/>
      <c r="T44" s="52"/>
      <c r="U44" s="52"/>
      <c r="V44" s="52"/>
      <c r="W44" s="52"/>
      <c r="X44" s="42"/>
      <c r="Y44" s="13"/>
      <c r="Z44" s="13"/>
      <c r="AA44" s="13"/>
      <c r="AB44" s="13"/>
      <c r="AC44" s="13"/>
      <c r="AD44" s="14"/>
      <c r="AE44" s="15"/>
      <c r="AF44" s="13"/>
      <c r="AG44" s="13"/>
      <c r="AH44" s="13"/>
      <c r="AI44" s="13"/>
      <c r="AJ44" s="14"/>
      <c r="AK44" s="15"/>
      <c r="AL44" s="13"/>
      <c r="AM44" s="29"/>
      <c r="AN44" s="13"/>
      <c r="AO44" s="13"/>
      <c r="AP44" s="14"/>
      <c r="AQ44" s="15"/>
      <c r="AR44" s="13"/>
      <c r="AS44" s="13"/>
      <c r="AT44" s="13"/>
      <c r="AU44" s="13"/>
      <c r="AV44" s="14"/>
      <c r="AW44" s="15"/>
      <c r="AX44" s="13"/>
      <c r="AY44" s="13"/>
      <c r="AZ44" s="13"/>
      <c r="BA44" s="13"/>
      <c r="BB44" s="14"/>
      <c r="BC44" s="15"/>
      <c r="BD44" s="13"/>
      <c r="BE44" s="13"/>
      <c r="BF44" s="13"/>
      <c r="BG44" s="13"/>
      <c r="BH44" s="14"/>
      <c r="BI44" s="15"/>
      <c r="BJ44" s="13"/>
      <c r="BK44" s="13"/>
      <c r="BL44" s="13"/>
      <c r="BM44" s="13"/>
      <c r="BN44" s="14"/>
      <c r="BO44" s="13"/>
      <c r="BP44" s="13"/>
      <c r="BQ44" s="13"/>
      <c r="BR44" s="13"/>
      <c r="BS44" s="13"/>
      <c r="BT44" s="16"/>
    </row>
    <row r="45" spans="2:72">
      <c r="B45" s="47" t="s">
        <v>60</v>
      </c>
      <c r="C45" s="17"/>
      <c r="D45" s="21"/>
      <c r="E45" s="51"/>
      <c r="F45" s="52"/>
      <c r="G45" s="52"/>
      <c r="H45" s="52"/>
      <c r="I45" s="52"/>
      <c r="J45" s="52"/>
      <c r="K45" s="52"/>
      <c r="L45" s="52"/>
      <c r="M45" s="43"/>
      <c r="N45" s="52"/>
      <c r="O45" s="52"/>
      <c r="P45" s="52"/>
      <c r="Q45" s="52"/>
      <c r="R45" s="52"/>
      <c r="S45" s="52"/>
      <c r="T45" s="52"/>
      <c r="U45" s="52"/>
      <c r="V45" s="52"/>
      <c r="W45" s="52"/>
      <c r="X45" s="43"/>
      <c r="Y45" s="13"/>
      <c r="Z45" s="13"/>
      <c r="AA45" s="13"/>
      <c r="AB45" s="13"/>
      <c r="AC45" s="13"/>
      <c r="AD45" s="14"/>
      <c r="AE45" s="15"/>
      <c r="AF45" s="13"/>
      <c r="AG45" s="13"/>
      <c r="AH45" s="13"/>
      <c r="AI45" s="13"/>
      <c r="AJ45" s="14"/>
      <c r="AK45" s="15"/>
      <c r="AL45" s="13"/>
      <c r="AM45" s="13"/>
      <c r="AN45" s="13"/>
      <c r="AO45" s="13"/>
      <c r="AP45" s="14"/>
      <c r="AQ45" s="15"/>
      <c r="AR45" s="13"/>
      <c r="AS45" s="13"/>
      <c r="AT45" s="13"/>
      <c r="AU45" s="13"/>
      <c r="AV45" s="14"/>
      <c r="AW45" s="15"/>
      <c r="AX45" s="13"/>
      <c r="AY45" s="13"/>
      <c r="AZ45" s="13"/>
      <c r="BA45" s="13"/>
      <c r="BB45" s="14"/>
      <c r="BC45" s="15"/>
      <c r="BD45" s="13"/>
      <c r="BE45" s="13"/>
      <c r="BF45" s="13"/>
      <c r="BG45" s="13"/>
      <c r="BH45" s="14"/>
      <c r="BI45" s="15"/>
      <c r="BJ45" s="13"/>
      <c r="BK45" s="13"/>
      <c r="BL45" s="13"/>
      <c r="BM45" s="13"/>
      <c r="BN45" s="14"/>
      <c r="BO45" s="13"/>
      <c r="BP45" s="13"/>
      <c r="BQ45" s="13"/>
      <c r="BR45" s="13"/>
      <c r="BS45" s="13"/>
      <c r="BT45" s="16"/>
    </row>
    <row r="46" spans="2:72">
      <c r="B46" s="35" t="s">
        <v>61</v>
      </c>
      <c r="C46" s="36"/>
      <c r="D46" s="37"/>
      <c r="E46" s="38">
        <f>SUM(E47:E61)</f>
        <v>0</v>
      </c>
      <c r="F46" s="39">
        <f>SUM(F47:F61)</f>
        <v>0</v>
      </c>
      <c r="G46" s="39">
        <f>SUM(G47:G61)</f>
        <v>0</v>
      </c>
      <c r="H46" s="39">
        <f>SUM(H47:H61)</f>
        <v>0</v>
      </c>
      <c r="I46" s="39">
        <f>SUM(I47:I61)</f>
        <v>0</v>
      </c>
      <c r="J46" s="39">
        <f>SUM(J47:J61)</f>
        <v>0</v>
      </c>
      <c r="K46" s="39">
        <f>SUM(K47:K61)</f>
        <v>0</v>
      </c>
      <c r="L46" s="40">
        <f>SUM(L47:L61)</f>
        <v>0</v>
      </c>
      <c r="M46" s="39">
        <f>SUM(E46:L46)</f>
        <v>0</v>
      </c>
      <c r="N46" s="39">
        <f>SUM(N47:N61)</f>
        <v>0</v>
      </c>
      <c r="O46" s="39">
        <f>SUM(O47:O61)</f>
        <v>0</v>
      </c>
      <c r="P46" s="39">
        <f>SUM(P47:P61)</f>
        <v>0</v>
      </c>
      <c r="Q46" s="39">
        <f>SUM(Q47:Q61)</f>
        <v>0</v>
      </c>
      <c r="R46" s="39">
        <f>SUM(R47:R61)</f>
        <v>0</v>
      </c>
      <c r="S46" s="39">
        <f>SUM(S47:S61)</f>
        <v>0</v>
      </c>
      <c r="T46" s="39">
        <f>SUM(T47:T61)</f>
        <v>0</v>
      </c>
      <c r="U46" s="39">
        <f>SUM(U47:U61)</f>
        <v>0</v>
      </c>
      <c r="V46" s="39">
        <f>SUM(V47:V61)</f>
        <v>0</v>
      </c>
      <c r="W46" s="39">
        <f>SUM(W47:W61)</f>
        <v>0</v>
      </c>
      <c r="X46" s="39">
        <f>SUM(N46:W46)</f>
        <v>0</v>
      </c>
      <c r="Y46" s="9"/>
      <c r="Z46" s="9"/>
      <c r="AA46" s="9"/>
      <c r="AB46" s="9"/>
      <c r="AC46" s="9"/>
      <c r="AD46" s="10"/>
      <c r="AE46" s="11"/>
      <c r="AF46" s="9"/>
      <c r="AG46" s="9"/>
      <c r="AH46" s="9"/>
      <c r="AI46" s="9"/>
      <c r="AJ46" s="10"/>
      <c r="AK46" s="11"/>
      <c r="AL46" s="9"/>
      <c r="AM46" s="9"/>
      <c r="AN46" s="9"/>
      <c r="AO46" s="9"/>
      <c r="AP46" s="10"/>
      <c r="AQ46" s="11"/>
      <c r="AR46" s="9"/>
      <c r="AS46" s="9"/>
      <c r="AT46" s="9"/>
      <c r="AU46" s="9"/>
      <c r="AV46" s="10"/>
      <c r="AW46" s="11"/>
      <c r="AX46" s="9"/>
      <c r="AY46" s="9"/>
      <c r="AZ46" s="9"/>
      <c r="BA46" s="9"/>
      <c r="BB46" s="10"/>
      <c r="BC46" s="11"/>
      <c r="BD46" s="9"/>
      <c r="BE46" s="9"/>
      <c r="BF46" s="9"/>
      <c r="BG46" s="9"/>
      <c r="BH46" s="10"/>
      <c r="BI46" s="11"/>
      <c r="BJ46" s="9"/>
      <c r="BK46" s="9"/>
      <c r="BL46" s="9"/>
      <c r="BM46" s="9"/>
      <c r="BN46" s="10"/>
      <c r="BO46" s="9"/>
      <c r="BP46" s="9"/>
      <c r="BQ46" s="9"/>
      <c r="BR46" s="9"/>
      <c r="BS46" s="9"/>
      <c r="BT46" s="12"/>
    </row>
    <row r="47" spans="2:72">
      <c r="B47" s="46" t="s">
        <v>62</v>
      </c>
      <c r="C47" s="17"/>
      <c r="D47" s="21"/>
      <c r="E47" s="48"/>
      <c r="F47" s="49"/>
      <c r="G47" s="49"/>
      <c r="H47" s="49"/>
      <c r="I47" s="49"/>
      <c r="J47" s="49"/>
      <c r="K47" s="49"/>
      <c r="L47" s="50"/>
      <c r="M47" s="41">
        <f>SUM(E47:L47)</f>
        <v>0</v>
      </c>
      <c r="N47" s="49"/>
      <c r="O47" s="49"/>
      <c r="P47" s="49"/>
      <c r="Q47" s="49"/>
      <c r="R47" s="49"/>
      <c r="S47" s="49"/>
      <c r="T47" s="49"/>
      <c r="U47" s="49"/>
      <c r="V47" s="49"/>
      <c r="W47" s="49"/>
      <c r="X47" s="41">
        <f>SUM(N47:W47)</f>
        <v>0</v>
      </c>
      <c r="Y47" s="13"/>
      <c r="Z47" s="13"/>
      <c r="AA47" s="13"/>
      <c r="AB47" s="13"/>
      <c r="AC47" s="13"/>
      <c r="AD47" s="14"/>
      <c r="AE47" s="15"/>
      <c r="AF47" s="13"/>
      <c r="AG47" s="13"/>
      <c r="AH47" s="13"/>
      <c r="AI47" s="13"/>
      <c r="AJ47" s="14"/>
      <c r="AK47" s="15"/>
      <c r="AL47" s="13"/>
      <c r="AM47" s="13"/>
      <c r="AN47" s="13"/>
      <c r="AO47" s="13"/>
      <c r="AP47" s="14"/>
      <c r="AQ47" s="15"/>
      <c r="AR47" s="13"/>
      <c r="AS47" s="13"/>
      <c r="AT47" s="13"/>
      <c r="AU47" s="13"/>
      <c r="AV47" s="14"/>
      <c r="AW47" s="15"/>
      <c r="AX47" s="13"/>
      <c r="AY47" s="13"/>
      <c r="AZ47" s="13"/>
      <c r="BA47" s="13"/>
      <c r="BB47" s="14"/>
      <c r="BC47" s="15"/>
      <c r="BD47" s="13"/>
      <c r="BE47" s="13"/>
      <c r="BF47" s="13"/>
      <c r="BG47" s="13"/>
      <c r="BH47" s="14"/>
      <c r="BI47" s="15"/>
      <c r="BJ47" s="13"/>
      <c r="BK47" s="13"/>
      <c r="BL47" s="13"/>
      <c r="BM47" s="13"/>
      <c r="BN47" s="14"/>
      <c r="BO47" s="13"/>
      <c r="BP47" s="13"/>
      <c r="BQ47" s="13"/>
      <c r="BR47" s="13"/>
      <c r="BS47" s="13"/>
      <c r="BT47" s="16"/>
    </row>
    <row r="48" spans="2:72">
      <c r="B48" s="47" t="s">
        <v>63</v>
      </c>
      <c r="C48" s="17"/>
      <c r="D48" s="21"/>
      <c r="E48" s="51"/>
      <c r="F48" s="52"/>
      <c r="G48" s="52"/>
      <c r="H48" s="52"/>
      <c r="I48" s="52"/>
      <c r="J48" s="52"/>
      <c r="K48" s="52"/>
      <c r="L48" s="52"/>
      <c r="M48" s="42"/>
      <c r="N48" s="52"/>
      <c r="O48" s="52"/>
      <c r="P48" s="52"/>
      <c r="Q48" s="52"/>
      <c r="R48" s="52"/>
      <c r="S48" s="52"/>
      <c r="T48" s="52"/>
      <c r="U48" s="52"/>
      <c r="V48" s="52"/>
      <c r="W48" s="52"/>
      <c r="X48" s="42"/>
      <c r="Y48" s="13"/>
      <c r="Z48" s="13"/>
      <c r="AA48" s="13"/>
      <c r="AB48" s="13"/>
      <c r="AC48" s="13"/>
      <c r="AD48" s="14"/>
      <c r="AE48" s="15"/>
      <c r="AF48" s="13"/>
      <c r="AG48" s="13"/>
      <c r="AH48" s="13"/>
      <c r="AI48" s="13"/>
      <c r="AJ48" s="14"/>
      <c r="AK48" s="15"/>
      <c r="AL48" s="13"/>
      <c r="AM48" s="13"/>
      <c r="AN48" s="13"/>
      <c r="AO48" s="13"/>
      <c r="AP48" s="14"/>
      <c r="AQ48" s="15"/>
      <c r="AR48" s="13"/>
      <c r="AS48" s="13"/>
      <c r="AT48" s="13"/>
      <c r="AU48" s="13"/>
      <c r="AV48" s="14"/>
      <c r="AW48" s="15"/>
      <c r="AX48" s="13"/>
      <c r="AY48" s="13"/>
      <c r="AZ48" s="13"/>
      <c r="BA48" s="13"/>
      <c r="BB48" s="14"/>
      <c r="BC48" s="15"/>
      <c r="BD48" s="13"/>
      <c r="BE48" s="13"/>
      <c r="BF48" s="13"/>
      <c r="BG48" s="13"/>
      <c r="BH48" s="14"/>
      <c r="BI48" s="15"/>
      <c r="BJ48" s="13"/>
      <c r="BK48" s="13"/>
      <c r="BL48" s="13"/>
      <c r="BM48" s="13"/>
      <c r="BN48" s="14"/>
      <c r="BO48" s="13"/>
      <c r="BP48" s="13"/>
      <c r="BQ48" s="13"/>
      <c r="BR48" s="13"/>
      <c r="BS48" s="13"/>
      <c r="BT48" s="16"/>
    </row>
    <row r="49" spans="2:72">
      <c r="B49" s="47" t="s">
        <v>64</v>
      </c>
      <c r="C49" s="17"/>
      <c r="D49" s="21"/>
      <c r="E49" s="51"/>
      <c r="F49" s="52"/>
      <c r="G49" s="52"/>
      <c r="H49" s="52"/>
      <c r="I49" s="52"/>
      <c r="J49" s="52"/>
      <c r="K49" s="52"/>
      <c r="L49" s="52"/>
      <c r="M49" s="42"/>
      <c r="N49" s="52"/>
      <c r="O49" s="52"/>
      <c r="P49" s="52"/>
      <c r="Q49" s="52"/>
      <c r="R49" s="52"/>
      <c r="S49" s="52"/>
      <c r="T49" s="52"/>
      <c r="U49" s="52"/>
      <c r="V49" s="52"/>
      <c r="W49" s="52"/>
      <c r="X49" s="42"/>
      <c r="Y49" s="13"/>
      <c r="Z49" s="13"/>
      <c r="AA49" s="13"/>
      <c r="AB49" s="13"/>
      <c r="AC49" s="13"/>
      <c r="AD49" s="14"/>
      <c r="AE49" s="15"/>
      <c r="AF49" s="13"/>
      <c r="AG49" s="13"/>
      <c r="AH49" s="13"/>
      <c r="AI49" s="13"/>
      <c r="AJ49" s="14"/>
      <c r="AK49" s="15"/>
      <c r="AL49" s="13"/>
      <c r="AM49" s="13"/>
      <c r="AN49" s="13"/>
      <c r="AO49" s="13"/>
      <c r="AP49" s="14"/>
      <c r="AQ49" s="15"/>
      <c r="AR49" s="13"/>
      <c r="AS49" s="13"/>
      <c r="AT49" s="13"/>
      <c r="AU49" s="13"/>
      <c r="AV49" s="14"/>
      <c r="AW49" s="15"/>
      <c r="AX49" s="13"/>
      <c r="AY49" s="13"/>
      <c r="AZ49" s="13"/>
      <c r="BA49" s="13"/>
      <c r="BB49" s="14"/>
      <c r="BC49" s="15"/>
      <c r="BD49" s="13"/>
      <c r="BE49" s="13"/>
      <c r="BF49" s="13"/>
      <c r="BG49" s="13"/>
      <c r="BH49" s="14"/>
      <c r="BI49" s="15"/>
      <c r="BJ49" s="13"/>
      <c r="BK49" s="13"/>
      <c r="BL49" s="13"/>
      <c r="BM49" s="13"/>
      <c r="BN49" s="14"/>
      <c r="BO49" s="13"/>
      <c r="BP49" s="13"/>
      <c r="BQ49" s="13"/>
      <c r="BR49" s="13"/>
      <c r="BS49" s="13"/>
      <c r="BT49" s="16"/>
    </row>
    <row r="50" spans="2:72">
      <c r="B50" s="46" t="s">
        <v>65</v>
      </c>
      <c r="C50" s="17"/>
      <c r="D50" s="21"/>
      <c r="E50" s="48"/>
      <c r="F50" s="49"/>
      <c r="G50" s="49"/>
      <c r="H50" s="49"/>
      <c r="I50" s="49"/>
      <c r="J50" s="49"/>
      <c r="K50" s="49"/>
      <c r="L50" s="50"/>
      <c r="M50" s="41">
        <f>SUM(E50:L50)</f>
        <v>0</v>
      </c>
      <c r="N50" s="49"/>
      <c r="O50" s="49"/>
      <c r="P50" s="49"/>
      <c r="Q50" s="49"/>
      <c r="R50" s="49"/>
      <c r="S50" s="49"/>
      <c r="T50" s="49"/>
      <c r="U50" s="49"/>
      <c r="V50" s="49"/>
      <c r="W50" s="49"/>
      <c r="X50" s="41">
        <f>SUM(N50:W50)</f>
        <v>0</v>
      </c>
      <c r="Y50" s="13"/>
      <c r="Z50" s="13"/>
      <c r="AA50" s="13"/>
      <c r="AB50" s="13"/>
      <c r="AC50" s="13"/>
      <c r="AD50" s="14"/>
      <c r="AE50" s="15"/>
      <c r="AF50" s="13"/>
      <c r="AG50" s="13"/>
      <c r="AH50" s="13"/>
      <c r="AI50" s="13"/>
      <c r="AJ50" s="14"/>
      <c r="AK50" s="15"/>
      <c r="AL50" s="13"/>
      <c r="AM50" s="13"/>
      <c r="AN50" s="13"/>
      <c r="AO50" s="13"/>
      <c r="AP50" s="14"/>
      <c r="AQ50" s="15"/>
      <c r="AR50" s="13"/>
      <c r="AS50" s="13"/>
      <c r="AT50" s="13"/>
      <c r="AU50" s="13"/>
      <c r="AV50" s="14"/>
      <c r="AW50" s="15"/>
      <c r="AX50" s="13"/>
      <c r="AY50" s="13"/>
      <c r="AZ50" s="13"/>
      <c r="BA50" s="13"/>
      <c r="BB50" s="14"/>
      <c r="BC50" s="15"/>
      <c r="BD50" s="13"/>
      <c r="BE50" s="13"/>
      <c r="BF50" s="13"/>
      <c r="BG50" s="13"/>
      <c r="BH50" s="14"/>
      <c r="BI50" s="15"/>
      <c r="BJ50" s="13"/>
      <c r="BK50" s="13"/>
      <c r="BL50" s="13"/>
      <c r="BM50" s="13"/>
      <c r="BN50" s="14"/>
      <c r="BO50" s="13"/>
      <c r="BP50" s="13"/>
      <c r="BQ50" s="13"/>
      <c r="BR50" s="13"/>
      <c r="BS50" s="13"/>
      <c r="BT50" s="16"/>
    </row>
    <row r="51" spans="2:72">
      <c r="B51" s="47" t="s">
        <v>66</v>
      </c>
      <c r="C51" s="17"/>
      <c r="D51" s="21"/>
      <c r="E51" s="51"/>
      <c r="F51" s="52"/>
      <c r="G51" s="52"/>
      <c r="H51" s="52"/>
      <c r="I51" s="52"/>
      <c r="J51" s="52"/>
      <c r="K51" s="52"/>
      <c r="L51" s="52"/>
      <c r="M51" s="42"/>
      <c r="N51" s="52"/>
      <c r="O51" s="52"/>
      <c r="P51" s="52"/>
      <c r="Q51" s="52"/>
      <c r="R51" s="52"/>
      <c r="S51" s="52"/>
      <c r="T51" s="52"/>
      <c r="U51" s="52"/>
      <c r="V51" s="52"/>
      <c r="W51" s="52"/>
      <c r="X51" s="42"/>
      <c r="Y51" s="13"/>
      <c r="Z51" s="13"/>
      <c r="AA51" s="13"/>
      <c r="AB51" s="13"/>
      <c r="AC51" s="13"/>
      <c r="AD51" s="14"/>
      <c r="AE51" s="15"/>
      <c r="AF51" s="13"/>
      <c r="AG51" s="13"/>
      <c r="AH51" s="13"/>
      <c r="AI51" s="13"/>
      <c r="AJ51" s="14"/>
      <c r="AK51" s="15"/>
      <c r="AL51" s="13"/>
      <c r="AM51" s="13"/>
      <c r="AN51" s="13"/>
      <c r="AO51" s="13"/>
      <c r="AP51" s="14"/>
      <c r="AQ51" s="15"/>
      <c r="AR51" s="13"/>
      <c r="AS51" s="13"/>
      <c r="AT51" s="13"/>
      <c r="AU51" s="13"/>
      <c r="AV51" s="14"/>
      <c r="AW51" s="15"/>
      <c r="AX51" s="13"/>
      <c r="AY51" s="13"/>
      <c r="AZ51" s="13"/>
      <c r="BA51" s="13"/>
      <c r="BB51" s="14"/>
      <c r="BC51" s="15"/>
      <c r="BD51" s="13"/>
      <c r="BE51" s="13"/>
      <c r="BF51" s="13"/>
      <c r="BG51" s="13"/>
      <c r="BH51" s="14"/>
      <c r="BI51" s="15"/>
      <c r="BJ51" s="13"/>
      <c r="BK51" s="13"/>
      <c r="BL51" s="13"/>
      <c r="BM51" s="13"/>
      <c r="BN51" s="14"/>
      <c r="BO51" s="13"/>
      <c r="BP51" s="13"/>
      <c r="BQ51" s="13"/>
      <c r="BR51" s="13"/>
      <c r="BS51" s="13"/>
      <c r="BT51" s="16"/>
    </row>
    <row r="52" spans="2:72">
      <c r="B52" s="47" t="s">
        <v>67</v>
      </c>
      <c r="C52" s="17"/>
      <c r="D52" s="21"/>
      <c r="E52" s="51"/>
      <c r="F52" s="52"/>
      <c r="G52" s="52"/>
      <c r="H52" s="52"/>
      <c r="I52" s="52"/>
      <c r="J52" s="52"/>
      <c r="K52" s="52"/>
      <c r="L52" s="52"/>
      <c r="M52" s="42"/>
      <c r="N52" s="52"/>
      <c r="O52" s="52"/>
      <c r="P52" s="52"/>
      <c r="Q52" s="52"/>
      <c r="R52" s="52"/>
      <c r="S52" s="52"/>
      <c r="T52" s="52"/>
      <c r="U52" s="52"/>
      <c r="V52" s="52"/>
      <c r="W52" s="52"/>
      <c r="X52" s="42"/>
      <c r="Y52" s="13"/>
      <c r="Z52" s="13"/>
      <c r="AA52" s="13"/>
      <c r="AB52" s="13"/>
      <c r="AC52" s="13"/>
      <c r="AD52" s="14"/>
      <c r="AE52" s="15"/>
      <c r="AF52" s="13"/>
      <c r="AG52" s="13"/>
      <c r="AH52" s="13"/>
      <c r="AI52" s="13"/>
      <c r="AJ52" s="14"/>
      <c r="AK52" s="15"/>
      <c r="AL52" s="13"/>
      <c r="AM52" s="13"/>
      <c r="AN52" s="13"/>
      <c r="AO52" s="13"/>
      <c r="AP52" s="14"/>
      <c r="AQ52" s="15"/>
      <c r="AR52" s="13"/>
      <c r="AS52" s="13"/>
      <c r="AT52" s="13"/>
      <c r="AU52" s="13"/>
      <c r="AV52" s="14"/>
      <c r="AW52" s="15"/>
      <c r="AX52" s="13"/>
      <c r="AY52" s="13"/>
      <c r="AZ52" s="13"/>
      <c r="BA52" s="13"/>
      <c r="BB52" s="14"/>
      <c r="BC52" s="15"/>
      <c r="BD52" s="13"/>
      <c r="BE52" s="13"/>
      <c r="BF52" s="13"/>
      <c r="BG52" s="13"/>
      <c r="BH52" s="14"/>
      <c r="BI52" s="15"/>
      <c r="BJ52" s="13"/>
      <c r="BK52" s="13"/>
      <c r="BL52" s="13"/>
      <c r="BM52" s="13"/>
      <c r="BN52" s="14"/>
      <c r="BO52" s="13"/>
      <c r="BP52" s="13"/>
      <c r="BQ52" s="13"/>
      <c r="BR52" s="13"/>
      <c r="BS52" s="13"/>
      <c r="BT52" s="16"/>
    </row>
    <row r="53" spans="2:72">
      <c r="B53" s="46" t="s">
        <v>68</v>
      </c>
      <c r="C53" s="17"/>
      <c r="D53" s="21"/>
      <c r="E53" s="48"/>
      <c r="F53" s="49"/>
      <c r="G53" s="49"/>
      <c r="H53" s="49"/>
      <c r="I53" s="49"/>
      <c r="J53" s="49"/>
      <c r="K53" s="49"/>
      <c r="L53" s="50"/>
      <c r="M53" s="41">
        <f>SUM(E53:L53)</f>
        <v>0</v>
      </c>
      <c r="N53" s="49"/>
      <c r="O53" s="49"/>
      <c r="P53" s="49"/>
      <c r="Q53" s="49"/>
      <c r="R53" s="49"/>
      <c r="S53" s="49"/>
      <c r="T53" s="49"/>
      <c r="U53" s="49"/>
      <c r="V53" s="49"/>
      <c r="W53" s="49"/>
      <c r="X53" s="41">
        <f>SUM(N53:W53)</f>
        <v>0</v>
      </c>
      <c r="Y53" s="13"/>
      <c r="Z53" s="13"/>
      <c r="AA53" s="13"/>
      <c r="AB53" s="13"/>
      <c r="AC53" s="13"/>
      <c r="AD53" s="14"/>
      <c r="AE53" s="15"/>
      <c r="AF53" s="13"/>
      <c r="AG53" s="13"/>
      <c r="AH53" s="13"/>
      <c r="AI53" s="13"/>
      <c r="AJ53" s="14"/>
      <c r="AK53" s="15"/>
      <c r="AL53" s="13"/>
      <c r="AM53" s="13"/>
      <c r="AN53" s="13"/>
      <c r="AO53" s="13"/>
      <c r="AP53" s="14"/>
      <c r="AQ53" s="15"/>
      <c r="AR53" s="13"/>
      <c r="AS53" s="13"/>
      <c r="AT53" s="13"/>
      <c r="AU53" s="13"/>
      <c r="AV53" s="14"/>
      <c r="AW53" s="15"/>
      <c r="AX53" s="13"/>
      <c r="AY53" s="13"/>
      <c r="AZ53" s="13"/>
      <c r="BA53" s="13"/>
      <c r="BB53" s="14"/>
      <c r="BC53" s="15"/>
      <c r="BD53" s="13"/>
      <c r="BE53" s="13"/>
      <c r="BF53" s="13"/>
      <c r="BG53" s="13"/>
      <c r="BH53" s="14"/>
      <c r="BI53" s="15"/>
      <c r="BJ53" s="13"/>
      <c r="BK53" s="13"/>
      <c r="BL53" s="13"/>
      <c r="BM53" s="13"/>
      <c r="BN53" s="14"/>
      <c r="BO53" s="13"/>
      <c r="BP53" s="13"/>
      <c r="BQ53" s="13"/>
      <c r="BR53" s="13"/>
      <c r="BS53" s="13"/>
      <c r="BT53" s="16"/>
    </row>
    <row r="54" spans="2:72">
      <c r="B54" s="47" t="s">
        <v>69</v>
      </c>
      <c r="C54" s="17"/>
      <c r="D54" s="21"/>
      <c r="E54" s="51"/>
      <c r="F54" s="52"/>
      <c r="G54" s="52"/>
      <c r="H54" s="52"/>
      <c r="I54" s="52"/>
      <c r="J54" s="52"/>
      <c r="K54" s="52"/>
      <c r="L54" s="52"/>
      <c r="M54" s="42"/>
      <c r="N54" s="52"/>
      <c r="O54" s="52"/>
      <c r="P54" s="52"/>
      <c r="Q54" s="52"/>
      <c r="R54" s="52"/>
      <c r="S54" s="52"/>
      <c r="T54" s="52"/>
      <c r="U54" s="52"/>
      <c r="V54" s="52"/>
      <c r="W54" s="52"/>
      <c r="X54" s="42"/>
      <c r="Y54" s="13"/>
      <c r="Z54" s="13"/>
      <c r="AA54" s="13"/>
      <c r="AB54" s="13"/>
      <c r="AC54" s="13"/>
      <c r="AD54" s="14"/>
      <c r="AE54" s="15"/>
      <c r="AF54" s="13"/>
      <c r="AG54" s="13"/>
      <c r="AH54" s="13"/>
      <c r="AI54" s="13"/>
      <c r="AJ54" s="14"/>
      <c r="AK54" s="15"/>
      <c r="AL54" s="13"/>
      <c r="AM54" s="13"/>
      <c r="AN54" s="13"/>
      <c r="AO54" s="13"/>
      <c r="AP54" s="14"/>
      <c r="AQ54" s="15"/>
      <c r="AR54" s="13"/>
      <c r="AS54" s="13"/>
      <c r="AT54" s="13"/>
      <c r="AU54" s="13"/>
      <c r="AV54" s="14"/>
      <c r="AW54" s="15"/>
      <c r="AX54" s="13"/>
      <c r="AY54" s="13"/>
      <c r="AZ54" s="13"/>
      <c r="BA54" s="13"/>
      <c r="BB54" s="14"/>
      <c r="BC54" s="15"/>
      <c r="BD54" s="13"/>
      <c r="BE54" s="13"/>
      <c r="BF54" s="13"/>
      <c r="BG54" s="13"/>
      <c r="BH54" s="14"/>
      <c r="BI54" s="15"/>
      <c r="BJ54" s="13"/>
      <c r="BK54" s="13"/>
      <c r="BL54" s="13"/>
      <c r="BM54" s="13"/>
      <c r="BN54" s="14"/>
      <c r="BO54" s="13"/>
      <c r="BP54" s="13"/>
      <c r="BQ54" s="13"/>
      <c r="BR54" s="13"/>
      <c r="BS54" s="13"/>
      <c r="BT54" s="16"/>
    </row>
    <row r="55" spans="2:72">
      <c r="B55" s="47" t="s">
        <v>70</v>
      </c>
      <c r="C55" s="17"/>
      <c r="D55" s="21"/>
      <c r="E55" s="51"/>
      <c r="F55" s="52"/>
      <c r="G55" s="52"/>
      <c r="H55" s="52"/>
      <c r="I55" s="52"/>
      <c r="J55" s="52"/>
      <c r="K55" s="52"/>
      <c r="L55" s="52"/>
      <c r="M55" s="42"/>
      <c r="N55" s="52"/>
      <c r="O55" s="52"/>
      <c r="P55" s="52"/>
      <c r="Q55" s="52"/>
      <c r="R55" s="52"/>
      <c r="S55" s="52"/>
      <c r="T55" s="52"/>
      <c r="U55" s="52"/>
      <c r="V55" s="52"/>
      <c r="W55" s="52"/>
      <c r="X55" s="42"/>
      <c r="Y55" s="13"/>
      <c r="Z55" s="13"/>
      <c r="AA55" s="13"/>
      <c r="AB55" s="13"/>
      <c r="AC55" s="13"/>
      <c r="AD55" s="14"/>
      <c r="AE55" s="15"/>
      <c r="AF55" s="13"/>
      <c r="AG55" s="13"/>
      <c r="AH55" s="13"/>
      <c r="AI55" s="13"/>
      <c r="AJ55" s="14"/>
      <c r="AK55" s="15"/>
      <c r="AL55" s="13"/>
      <c r="AM55" s="13"/>
      <c r="AN55" s="13"/>
      <c r="AO55" s="13"/>
      <c r="AP55" s="14"/>
      <c r="AQ55" s="15"/>
      <c r="AR55" s="13"/>
      <c r="AS55" s="13"/>
      <c r="AT55" s="13"/>
      <c r="AU55" s="13"/>
      <c r="AV55" s="14"/>
      <c r="AW55" s="15"/>
      <c r="AX55" s="13"/>
      <c r="AY55" s="13"/>
      <c r="AZ55" s="13"/>
      <c r="BA55" s="13"/>
      <c r="BB55" s="14"/>
      <c r="BC55" s="15"/>
      <c r="BD55" s="13"/>
      <c r="BE55" s="13"/>
      <c r="BF55" s="13"/>
      <c r="BG55" s="13"/>
      <c r="BH55" s="14"/>
      <c r="BI55" s="15"/>
      <c r="BJ55" s="13"/>
      <c r="BK55" s="13"/>
      <c r="BL55" s="13"/>
      <c r="BM55" s="13"/>
      <c r="BN55" s="14"/>
      <c r="BO55" s="13"/>
      <c r="BP55" s="13"/>
      <c r="BQ55" s="13"/>
      <c r="BR55" s="13"/>
      <c r="BS55" s="13"/>
      <c r="BT55" s="16"/>
    </row>
    <row r="56" spans="2:72">
      <c r="B56" s="46" t="s">
        <v>71</v>
      </c>
      <c r="C56" s="17"/>
      <c r="D56" s="21"/>
      <c r="E56" s="48"/>
      <c r="F56" s="49"/>
      <c r="G56" s="49"/>
      <c r="H56" s="49"/>
      <c r="I56" s="49"/>
      <c r="J56" s="49"/>
      <c r="K56" s="49"/>
      <c r="L56" s="50"/>
      <c r="M56" s="41">
        <f>SUM(E56:L56)</f>
        <v>0</v>
      </c>
      <c r="N56" s="49"/>
      <c r="O56" s="49"/>
      <c r="P56" s="49"/>
      <c r="Q56" s="49"/>
      <c r="R56" s="49"/>
      <c r="S56" s="49"/>
      <c r="T56" s="49"/>
      <c r="U56" s="49"/>
      <c r="V56" s="49"/>
      <c r="W56" s="49"/>
      <c r="X56" s="41">
        <f>SUM(N56:W56)</f>
        <v>0</v>
      </c>
      <c r="Y56" s="13"/>
      <c r="Z56" s="13"/>
      <c r="AA56" s="13"/>
      <c r="AB56" s="13"/>
      <c r="AC56" s="13"/>
      <c r="AD56" s="14"/>
      <c r="AE56" s="15"/>
      <c r="AF56" s="13"/>
      <c r="AG56" s="13"/>
      <c r="AH56" s="13"/>
      <c r="AI56" s="13"/>
      <c r="AJ56" s="14"/>
      <c r="AK56" s="15"/>
      <c r="AL56" s="13"/>
      <c r="AM56" s="13"/>
      <c r="AN56" s="13"/>
      <c r="AO56" s="13"/>
      <c r="AP56" s="14"/>
      <c r="AQ56" s="15"/>
      <c r="AR56" s="13"/>
      <c r="AS56" s="13"/>
      <c r="AT56" s="13"/>
      <c r="AU56" s="13"/>
      <c r="AV56" s="14"/>
      <c r="AW56" s="15"/>
      <c r="AX56" s="13"/>
      <c r="AY56" s="13"/>
      <c r="AZ56" s="13"/>
      <c r="BA56" s="13"/>
      <c r="BB56" s="14"/>
      <c r="BC56" s="15"/>
      <c r="BD56" s="13"/>
      <c r="BE56" s="13"/>
      <c r="BF56" s="13"/>
      <c r="BG56" s="13"/>
      <c r="BH56" s="14"/>
      <c r="BI56" s="15"/>
      <c r="BJ56" s="13"/>
      <c r="BK56" s="13"/>
      <c r="BL56" s="13"/>
      <c r="BM56" s="13"/>
      <c r="BN56" s="14"/>
      <c r="BO56" s="13"/>
      <c r="BP56" s="13"/>
      <c r="BQ56" s="13"/>
      <c r="BR56" s="13"/>
      <c r="BS56" s="13"/>
      <c r="BT56" s="16"/>
    </row>
    <row r="57" spans="2:72">
      <c r="B57" s="47" t="s">
        <v>72</v>
      </c>
      <c r="C57" s="17"/>
      <c r="D57" s="21"/>
      <c r="E57" s="51"/>
      <c r="F57" s="52"/>
      <c r="G57" s="52"/>
      <c r="H57" s="52"/>
      <c r="I57" s="52"/>
      <c r="J57" s="52"/>
      <c r="K57" s="52"/>
      <c r="L57" s="52"/>
      <c r="M57" s="42"/>
      <c r="N57" s="52"/>
      <c r="O57" s="52"/>
      <c r="P57" s="52"/>
      <c r="Q57" s="52"/>
      <c r="R57" s="52"/>
      <c r="S57" s="52"/>
      <c r="T57" s="52"/>
      <c r="U57" s="52"/>
      <c r="V57" s="52"/>
      <c r="W57" s="52"/>
      <c r="X57" s="42"/>
      <c r="Y57" s="13"/>
      <c r="Z57" s="13"/>
      <c r="AA57" s="13"/>
      <c r="AB57" s="13"/>
      <c r="AC57" s="13"/>
      <c r="AD57" s="14"/>
      <c r="AE57" s="15"/>
      <c r="AF57" s="13"/>
      <c r="AG57" s="13"/>
      <c r="AH57" s="13"/>
      <c r="AI57" s="13"/>
      <c r="AJ57" s="14"/>
      <c r="AK57" s="15"/>
      <c r="AL57" s="13"/>
      <c r="AM57" s="13"/>
      <c r="AN57" s="13"/>
      <c r="AO57" s="13"/>
      <c r="AP57" s="14"/>
      <c r="AQ57" s="15"/>
      <c r="AR57" s="13"/>
      <c r="AS57" s="13"/>
      <c r="AT57" s="13"/>
      <c r="AU57" s="13"/>
      <c r="AV57" s="14"/>
      <c r="AW57" s="15"/>
      <c r="AX57" s="13"/>
      <c r="AY57" s="13"/>
      <c r="AZ57" s="13"/>
      <c r="BA57" s="13"/>
      <c r="BB57" s="14"/>
      <c r="BC57" s="15"/>
      <c r="BD57" s="13"/>
      <c r="BE57" s="13"/>
      <c r="BF57" s="13"/>
      <c r="BG57" s="13"/>
      <c r="BH57" s="14"/>
      <c r="BI57" s="15"/>
      <c r="BJ57" s="13"/>
      <c r="BK57" s="13"/>
      <c r="BL57" s="13"/>
      <c r="BM57" s="13"/>
      <c r="BN57" s="14"/>
      <c r="BO57" s="13"/>
      <c r="BP57" s="13"/>
      <c r="BQ57" s="13"/>
      <c r="BR57" s="13"/>
      <c r="BS57" s="13"/>
      <c r="BT57" s="16"/>
    </row>
    <row r="58" spans="2:72">
      <c r="B58" s="47" t="s">
        <v>73</v>
      </c>
      <c r="C58" s="17"/>
      <c r="D58" s="21"/>
      <c r="E58" s="51"/>
      <c r="F58" s="52"/>
      <c r="G58" s="52"/>
      <c r="H58" s="52"/>
      <c r="I58" s="52"/>
      <c r="J58" s="52"/>
      <c r="K58" s="52"/>
      <c r="L58" s="52"/>
      <c r="M58" s="42"/>
      <c r="N58" s="52"/>
      <c r="O58" s="52"/>
      <c r="P58" s="52"/>
      <c r="Q58" s="52"/>
      <c r="R58" s="52"/>
      <c r="S58" s="52"/>
      <c r="T58" s="52"/>
      <c r="U58" s="52"/>
      <c r="V58" s="52"/>
      <c r="W58" s="52"/>
      <c r="X58" s="42"/>
      <c r="Y58" s="13"/>
      <c r="Z58" s="13"/>
      <c r="AA58" s="13"/>
      <c r="AB58" s="13"/>
      <c r="AC58" s="13"/>
      <c r="AD58" s="14"/>
      <c r="AE58" s="15"/>
      <c r="AF58" s="13"/>
      <c r="AG58" s="13"/>
      <c r="AH58" s="13"/>
      <c r="AI58" s="13"/>
      <c r="AJ58" s="14"/>
      <c r="AK58" s="15"/>
      <c r="AL58" s="13"/>
      <c r="AM58" s="13"/>
      <c r="AN58" s="13"/>
      <c r="AO58" s="13"/>
      <c r="AP58" s="14"/>
      <c r="AQ58" s="15"/>
      <c r="AR58" s="13"/>
      <c r="AS58" s="13"/>
      <c r="AT58" s="13"/>
      <c r="AU58" s="13"/>
      <c r="AV58" s="14"/>
      <c r="AW58" s="15"/>
      <c r="AX58" s="13"/>
      <c r="AY58" s="13"/>
      <c r="AZ58" s="13"/>
      <c r="BA58" s="13"/>
      <c r="BB58" s="14"/>
      <c r="BC58" s="15"/>
      <c r="BD58" s="13"/>
      <c r="BE58" s="13"/>
      <c r="BF58" s="13"/>
      <c r="BG58" s="13"/>
      <c r="BH58" s="14"/>
      <c r="BI58" s="15"/>
      <c r="BJ58" s="13"/>
      <c r="BK58" s="13"/>
      <c r="BL58" s="13"/>
      <c r="BM58" s="13"/>
      <c r="BN58" s="14"/>
      <c r="BO58" s="13"/>
      <c r="BP58" s="13"/>
      <c r="BQ58" s="13"/>
      <c r="BR58" s="13"/>
      <c r="BS58" s="13"/>
      <c r="BT58" s="16"/>
    </row>
    <row r="59" spans="2:72">
      <c r="B59" s="46" t="s">
        <v>74</v>
      </c>
      <c r="C59" s="17"/>
      <c r="D59" s="21"/>
      <c r="E59" s="48"/>
      <c r="F59" s="49"/>
      <c r="G59" s="49"/>
      <c r="H59" s="49"/>
      <c r="I59" s="49"/>
      <c r="J59" s="49"/>
      <c r="K59" s="49"/>
      <c r="L59" s="50"/>
      <c r="M59" s="41">
        <f>SUM(E59:L59)</f>
        <v>0</v>
      </c>
      <c r="N59" s="49"/>
      <c r="O59" s="49"/>
      <c r="P59" s="49"/>
      <c r="Q59" s="49"/>
      <c r="R59" s="49"/>
      <c r="S59" s="49"/>
      <c r="T59" s="49"/>
      <c r="U59" s="49"/>
      <c r="V59" s="49"/>
      <c r="W59" s="49"/>
      <c r="X59" s="41">
        <f>SUM(N59:W59)</f>
        <v>0</v>
      </c>
      <c r="Y59" s="13"/>
      <c r="Z59" s="13"/>
      <c r="AA59" s="13"/>
      <c r="AB59" s="13"/>
      <c r="AC59" s="13"/>
      <c r="AD59" s="14"/>
      <c r="AE59" s="15"/>
      <c r="AF59" s="13"/>
      <c r="AG59" s="13"/>
      <c r="AH59" s="13"/>
      <c r="AI59" s="13"/>
      <c r="AJ59" s="14"/>
      <c r="AK59" s="15"/>
      <c r="AL59" s="13"/>
      <c r="AM59" s="13"/>
      <c r="AN59" s="13"/>
      <c r="AO59" s="13"/>
      <c r="AP59" s="14"/>
      <c r="AQ59" s="15"/>
      <c r="AR59" s="13"/>
      <c r="AS59" s="13"/>
      <c r="AT59" s="13"/>
      <c r="AU59" s="13"/>
      <c r="AV59" s="14"/>
      <c r="AW59" s="15"/>
      <c r="AX59" s="13"/>
      <c r="AY59" s="13"/>
      <c r="AZ59" s="13"/>
      <c r="BA59" s="13"/>
      <c r="BB59" s="14"/>
      <c r="BC59" s="15"/>
      <c r="BD59" s="13"/>
      <c r="BE59" s="13"/>
      <c r="BF59" s="13"/>
      <c r="BG59" s="13"/>
      <c r="BH59" s="14"/>
      <c r="BI59" s="15"/>
      <c r="BJ59" s="13"/>
      <c r="BK59" s="13"/>
      <c r="BL59" s="13"/>
      <c r="BM59" s="13"/>
      <c r="BN59" s="14"/>
      <c r="BO59" s="13"/>
      <c r="BP59" s="13"/>
      <c r="BQ59" s="13"/>
      <c r="BR59" s="13"/>
      <c r="BS59" s="13"/>
      <c r="BT59" s="16"/>
    </row>
    <row r="60" spans="2:72">
      <c r="B60" s="47" t="s">
        <v>75</v>
      </c>
      <c r="C60" s="17"/>
      <c r="D60" s="21"/>
      <c r="E60" s="51"/>
      <c r="F60" s="52"/>
      <c r="G60" s="52"/>
      <c r="H60" s="52"/>
      <c r="I60" s="52"/>
      <c r="J60" s="52"/>
      <c r="K60" s="52"/>
      <c r="L60" s="52"/>
      <c r="M60" s="42"/>
      <c r="N60" s="52"/>
      <c r="O60" s="52"/>
      <c r="P60" s="52"/>
      <c r="Q60" s="52"/>
      <c r="R60" s="52"/>
      <c r="S60" s="52"/>
      <c r="T60" s="52"/>
      <c r="U60" s="52"/>
      <c r="V60" s="52"/>
      <c r="W60" s="52"/>
      <c r="X60" s="42"/>
      <c r="Y60" s="13"/>
      <c r="Z60" s="13"/>
      <c r="AA60" s="13"/>
      <c r="AB60" s="13"/>
      <c r="AC60" s="13"/>
      <c r="AD60" s="14"/>
      <c r="AE60" s="15"/>
      <c r="AF60" s="13"/>
      <c r="AG60" s="13"/>
      <c r="AH60" s="13"/>
      <c r="AI60" s="13"/>
      <c r="AJ60" s="14"/>
      <c r="AK60" s="15"/>
      <c r="AL60" s="13"/>
      <c r="AM60" s="13"/>
      <c r="AN60" s="13"/>
      <c r="AO60" s="13"/>
      <c r="AP60" s="14"/>
      <c r="AQ60" s="15"/>
      <c r="AR60" s="13"/>
      <c r="AS60" s="13"/>
      <c r="AT60" s="13"/>
      <c r="AU60" s="13"/>
      <c r="AV60" s="14"/>
      <c r="AW60" s="15"/>
      <c r="AX60" s="13"/>
      <c r="AY60" s="13"/>
      <c r="AZ60" s="13"/>
      <c r="BA60" s="13"/>
      <c r="BB60" s="14"/>
      <c r="BC60" s="15"/>
      <c r="BD60" s="13"/>
      <c r="BE60" s="13"/>
      <c r="BF60" s="13"/>
      <c r="BG60" s="13"/>
      <c r="BH60" s="14"/>
      <c r="BI60" s="15"/>
      <c r="BJ60" s="13"/>
      <c r="BK60" s="13"/>
      <c r="BL60" s="13"/>
      <c r="BM60" s="13"/>
      <c r="BN60" s="14"/>
      <c r="BO60" s="13"/>
      <c r="BP60" s="13"/>
      <c r="BQ60" s="13"/>
      <c r="BR60" s="13"/>
      <c r="BS60" s="13"/>
      <c r="BT60" s="16"/>
    </row>
    <row r="61" spans="2:72">
      <c r="B61" s="47" t="s">
        <v>76</v>
      </c>
      <c r="C61" s="17"/>
      <c r="D61" s="21"/>
      <c r="E61" s="51"/>
      <c r="F61" s="52"/>
      <c r="G61" s="52"/>
      <c r="H61" s="52"/>
      <c r="I61" s="52"/>
      <c r="J61" s="52"/>
      <c r="K61" s="52"/>
      <c r="L61" s="52"/>
      <c r="M61" s="43"/>
      <c r="N61" s="52"/>
      <c r="O61" s="52"/>
      <c r="P61" s="52"/>
      <c r="Q61" s="52"/>
      <c r="R61" s="52"/>
      <c r="S61" s="52"/>
      <c r="T61" s="52"/>
      <c r="U61" s="52"/>
      <c r="V61" s="52"/>
      <c r="W61" s="52"/>
      <c r="X61" s="43"/>
      <c r="Y61" s="13"/>
      <c r="Z61" s="13"/>
      <c r="AA61" s="13"/>
      <c r="AB61" s="13"/>
      <c r="AC61" s="13"/>
      <c r="AD61" s="14"/>
      <c r="AE61" s="15"/>
      <c r="AF61" s="13"/>
      <c r="AG61" s="13"/>
      <c r="AH61" s="13"/>
      <c r="AI61" s="13"/>
      <c r="AJ61" s="14"/>
      <c r="AK61" s="15"/>
      <c r="AL61" s="13"/>
      <c r="AM61" s="13"/>
      <c r="AN61" s="13"/>
      <c r="AO61" s="13"/>
      <c r="AP61" s="14"/>
      <c r="AQ61" s="15"/>
      <c r="AR61" s="13"/>
      <c r="AS61" s="13"/>
      <c r="AT61" s="13"/>
      <c r="AU61" s="13"/>
      <c r="AV61" s="14"/>
      <c r="AW61" s="15"/>
      <c r="AX61" s="13"/>
      <c r="AY61" s="13"/>
      <c r="AZ61" s="13"/>
      <c r="BA61" s="13"/>
      <c r="BB61" s="14"/>
      <c r="BC61" s="15"/>
      <c r="BD61" s="13"/>
      <c r="BE61" s="13"/>
      <c r="BF61" s="13"/>
      <c r="BG61" s="13"/>
      <c r="BH61" s="14"/>
      <c r="BI61" s="15"/>
      <c r="BJ61" s="13"/>
      <c r="BK61" s="13"/>
      <c r="BL61" s="13"/>
      <c r="BM61" s="13"/>
      <c r="BN61" s="14"/>
      <c r="BO61" s="13"/>
      <c r="BP61" s="13"/>
      <c r="BQ61" s="13"/>
      <c r="BR61" s="13"/>
      <c r="BS61" s="13"/>
      <c r="BT61" s="16"/>
    </row>
    <row r="62" spans="2:72">
      <c r="B62" s="35" t="s">
        <v>77</v>
      </c>
      <c r="C62" s="36"/>
      <c r="D62" s="37"/>
      <c r="E62" s="38">
        <f>SUM(E63:E77)</f>
        <v>0</v>
      </c>
      <c r="F62" s="39">
        <f>SUM(F63:F77)</f>
        <v>0</v>
      </c>
      <c r="G62" s="39">
        <f>SUM(G63:G77)</f>
        <v>0</v>
      </c>
      <c r="H62" s="39">
        <f>SUM(H63:H77)</f>
        <v>0</v>
      </c>
      <c r="I62" s="39">
        <f>SUM(I63:I77)</f>
        <v>0</v>
      </c>
      <c r="J62" s="39">
        <f>SUM(J63:J77)</f>
        <v>0</v>
      </c>
      <c r="K62" s="39">
        <f>SUM(K63:K77)</f>
        <v>0</v>
      </c>
      <c r="L62" s="40">
        <f>SUM(L63:L77)</f>
        <v>0</v>
      </c>
      <c r="M62" s="39">
        <f>SUM(E62:L62)</f>
        <v>0</v>
      </c>
      <c r="N62" s="39">
        <f>SUM(N63:N77)</f>
        <v>0</v>
      </c>
      <c r="O62" s="39">
        <f>SUM(O63:O77)</f>
        <v>0</v>
      </c>
      <c r="P62" s="39">
        <f>SUM(P63:P77)</f>
        <v>0</v>
      </c>
      <c r="Q62" s="39">
        <f>SUM(Q63:Q77)</f>
        <v>0</v>
      </c>
      <c r="R62" s="39">
        <f>SUM(R63:R77)</f>
        <v>0</v>
      </c>
      <c r="S62" s="39">
        <f>SUM(S63:S77)</f>
        <v>0</v>
      </c>
      <c r="T62" s="39">
        <f>SUM(T63:T77)</f>
        <v>0</v>
      </c>
      <c r="U62" s="39">
        <f>SUM(U63:U77)</f>
        <v>0</v>
      </c>
      <c r="V62" s="39">
        <f>SUM(V63:V77)</f>
        <v>0</v>
      </c>
      <c r="W62" s="39">
        <f>SUM(W63:W77)</f>
        <v>0</v>
      </c>
      <c r="X62" s="39">
        <f>SUM(N62:W62)</f>
        <v>0</v>
      </c>
      <c r="Y62" s="9"/>
      <c r="Z62" s="9"/>
      <c r="AA62" s="9"/>
      <c r="AB62" s="9"/>
      <c r="AC62" s="9"/>
      <c r="AD62" s="10"/>
      <c r="AE62" s="11"/>
      <c r="AF62" s="9"/>
      <c r="AG62" s="9"/>
      <c r="AH62" s="9"/>
      <c r="AI62" s="9"/>
      <c r="AJ62" s="10"/>
      <c r="AK62" s="11"/>
      <c r="AL62" s="9"/>
      <c r="AM62" s="9"/>
      <c r="AN62" s="9"/>
      <c r="AO62" s="9"/>
      <c r="AP62" s="10"/>
      <c r="AQ62" s="11"/>
      <c r="AR62" s="9"/>
      <c r="AS62" s="9"/>
      <c r="AT62" s="9"/>
      <c r="AU62" s="9"/>
      <c r="AV62" s="10"/>
      <c r="AW62" s="11"/>
      <c r="AX62" s="9"/>
      <c r="AY62" s="9"/>
      <c r="AZ62" s="9"/>
      <c r="BA62" s="9"/>
      <c r="BB62" s="10"/>
      <c r="BC62" s="11"/>
      <c r="BD62" s="9"/>
      <c r="BE62" s="9"/>
      <c r="BF62" s="9"/>
      <c r="BG62" s="9"/>
      <c r="BH62" s="10"/>
      <c r="BI62" s="11"/>
      <c r="BJ62" s="9"/>
      <c r="BK62" s="9"/>
      <c r="BL62" s="9"/>
      <c r="BM62" s="9"/>
      <c r="BN62" s="10"/>
      <c r="BO62" s="9"/>
      <c r="BP62" s="9"/>
      <c r="BQ62" s="9"/>
      <c r="BR62" s="9"/>
      <c r="BS62" s="9"/>
      <c r="BT62" s="12"/>
    </row>
    <row r="63" spans="2:72">
      <c r="B63" s="46" t="s">
        <v>78</v>
      </c>
      <c r="C63" s="17"/>
      <c r="D63" s="21"/>
      <c r="E63" s="48"/>
      <c r="F63" s="49"/>
      <c r="G63" s="49"/>
      <c r="H63" s="49"/>
      <c r="I63" s="49"/>
      <c r="J63" s="49"/>
      <c r="K63" s="49"/>
      <c r="L63" s="50"/>
      <c r="M63" s="41">
        <f>SUM(E63:L63)</f>
        <v>0</v>
      </c>
      <c r="N63" s="49"/>
      <c r="O63" s="49"/>
      <c r="P63" s="49"/>
      <c r="Q63" s="49"/>
      <c r="R63" s="49"/>
      <c r="S63" s="49"/>
      <c r="T63" s="49"/>
      <c r="U63" s="49"/>
      <c r="V63" s="49"/>
      <c r="W63" s="49"/>
      <c r="X63" s="41">
        <f>SUM(N63:W63)</f>
        <v>0</v>
      </c>
      <c r="Y63" s="13"/>
      <c r="Z63" s="13"/>
      <c r="AA63" s="13"/>
      <c r="AB63" s="13"/>
      <c r="AC63" s="13"/>
      <c r="AD63" s="14"/>
      <c r="AE63" s="15"/>
      <c r="AF63" s="13"/>
      <c r="AG63" s="13"/>
      <c r="AH63" s="13"/>
      <c r="AI63" s="13"/>
      <c r="AJ63" s="14"/>
      <c r="AK63" s="15"/>
      <c r="AL63" s="13"/>
      <c r="AM63" s="13"/>
      <c r="AN63" s="13"/>
      <c r="AO63" s="13"/>
      <c r="AP63" s="14"/>
      <c r="AQ63" s="15"/>
      <c r="AR63" s="13"/>
      <c r="AS63" s="13"/>
      <c r="AT63" s="13"/>
      <c r="AU63" s="13"/>
      <c r="AV63" s="14"/>
      <c r="AW63" s="15"/>
      <c r="AX63" s="13"/>
      <c r="AY63" s="13"/>
      <c r="AZ63" s="13"/>
      <c r="BA63" s="13"/>
      <c r="BB63" s="14"/>
      <c r="BC63" s="15"/>
      <c r="BD63" s="13"/>
      <c r="BE63" s="13"/>
      <c r="BF63" s="13"/>
      <c r="BG63" s="13"/>
      <c r="BH63" s="14"/>
      <c r="BI63" s="15"/>
      <c r="BJ63" s="13"/>
      <c r="BK63" s="13"/>
      <c r="BL63" s="13"/>
      <c r="BM63" s="13"/>
      <c r="BN63" s="14"/>
      <c r="BO63" s="13"/>
      <c r="BP63" s="13"/>
      <c r="BQ63" s="13"/>
      <c r="BR63" s="13"/>
      <c r="BS63" s="13"/>
      <c r="BT63" s="16"/>
    </row>
    <row r="64" spans="2:72">
      <c r="B64" s="47" t="s">
        <v>79</v>
      </c>
      <c r="C64" s="17"/>
      <c r="D64" s="21"/>
      <c r="E64" s="51"/>
      <c r="F64" s="52"/>
      <c r="G64" s="52"/>
      <c r="H64" s="52"/>
      <c r="I64" s="52"/>
      <c r="J64" s="52"/>
      <c r="K64" s="52"/>
      <c r="L64" s="52"/>
      <c r="M64" s="42"/>
      <c r="N64" s="52"/>
      <c r="O64" s="52"/>
      <c r="P64" s="52"/>
      <c r="Q64" s="52"/>
      <c r="R64" s="52"/>
      <c r="S64" s="52"/>
      <c r="T64" s="52"/>
      <c r="U64" s="52"/>
      <c r="V64" s="52"/>
      <c r="W64" s="52"/>
      <c r="X64" s="42"/>
      <c r="Y64" s="13"/>
      <c r="Z64" s="13"/>
      <c r="AA64" s="13"/>
      <c r="AB64" s="13"/>
      <c r="AC64" s="13"/>
      <c r="AD64" s="14"/>
      <c r="AE64" s="15"/>
      <c r="AF64" s="13"/>
      <c r="AG64" s="13"/>
      <c r="AH64" s="13"/>
      <c r="AI64" s="13"/>
      <c r="AJ64" s="14"/>
      <c r="AK64" s="15"/>
      <c r="AL64" s="13"/>
      <c r="AM64" s="13"/>
      <c r="AN64" s="13"/>
      <c r="AO64" s="13"/>
      <c r="AP64" s="14"/>
      <c r="AQ64" s="15"/>
      <c r="AR64" s="13"/>
      <c r="AS64" s="13"/>
      <c r="AT64" s="13"/>
      <c r="AU64" s="13"/>
      <c r="AV64" s="14"/>
      <c r="AW64" s="15"/>
      <c r="AX64" s="13"/>
      <c r="AY64" s="13"/>
      <c r="AZ64" s="13"/>
      <c r="BA64" s="13"/>
      <c r="BB64" s="14"/>
      <c r="BC64" s="15"/>
      <c r="BD64" s="13"/>
      <c r="BE64" s="13"/>
      <c r="BF64" s="13"/>
      <c r="BG64" s="13"/>
      <c r="BH64" s="14"/>
      <c r="BI64" s="15"/>
      <c r="BJ64" s="13"/>
      <c r="BK64" s="13"/>
      <c r="BL64" s="13"/>
      <c r="BM64" s="13"/>
      <c r="BN64" s="14"/>
      <c r="BO64" s="13"/>
      <c r="BP64" s="13"/>
      <c r="BQ64" s="13"/>
      <c r="BR64" s="13"/>
      <c r="BS64" s="13"/>
      <c r="BT64" s="16"/>
    </row>
    <row r="65" spans="2:72">
      <c r="B65" s="47" t="s">
        <v>80</v>
      </c>
      <c r="C65" s="17"/>
      <c r="D65" s="21"/>
      <c r="E65" s="51"/>
      <c r="F65" s="52"/>
      <c r="G65" s="52"/>
      <c r="H65" s="52"/>
      <c r="I65" s="52"/>
      <c r="J65" s="52"/>
      <c r="K65" s="52"/>
      <c r="L65" s="52"/>
      <c r="M65" s="42"/>
      <c r="N65" s="52"/>
      <c r="O65" s="52"/>
      <c r="P65" s="52"/>
      <c r="Q65" s="52"/>
      <c r="R65" s="52"/>
      <c r="S65" s="52"/>
      <c r="T65" s="52"/>
      <c r="U65" s="52"/>
      <c r="V65" s="52"/>
      <c r="W65" s="52"/>
      <c r="X65" s="42"/>
      <c r="Y65" s="13"/>
      <c r="Z65" s="13"/>
      <c r="AA65" s="13"/>
      <c r="AB65" s="13"/>
      <c r="AC65" s="13"/>
      <c r="AD65" s="14"/>
      <c r="AE65" s="15"/>
      <c r="AF65" s="13"/>
      <c r="AG65" s="13"/>
      <c r="AH65" s="13"/>
      <c r="AI65" s="13"/>
      <c r="AJ65" s="14"/>
      <c r="AK65" s="15"/>
      <c r="AL65" s="13"/>
      <c r="AM65" s="13"/>
      <c r="AN65" s="13"/>
      <c r="AO65" s="13"/>
      <c r="AP65" s="14"/>
      <c r="AQ65" s="15"/>
      <c r="AR65" s="13"/>
      <c r="AS65" s="13"/>
      <c r="AT65" s="13"/>
      <c r="AU65" s="13"/>
      <c r="AV65" s="14"/>
      <c r="AW65" s="15"/>
      <c r="AX65" s="13"/>
      <c r="AY65" s="13"/>
      <c r="AZ65" s="13"/>
      <c r="BA65" s="13"/>
      <c r="BB65" s="14"/>
      <c r="BC65" s="15"/>
      <c r="BD65" s="13"/>
      <c r="BE65" s="13"/>
      <c r="BF65" s="13"/>
      <c r="BG65" s="13"/>
      <c r="BH65" s="14"/>
      <c r="BI65" s="15"/>
      <c r="BJ65" s="13"/>
      <c r="BK65" s="13"/>
      <c r="BL65" s="13"/>
      <c r="BM65" s="13"/>
      <c r="BN65" s="14"/>
      <c r="BO65" s="13"/>
      <c r="BP65" s="13"/>
      <c r="BQ65" s="13"/>
      <c r="BR65" s="13"/>
      <c r="BS65" s="13"/>
      <c r="BT65" s="16"/>
    </row>
    <row r="66" spans="2:72">
      <c r="B66" s="46" t="s">
        <v>81</v>
      </c>
      <c r="C66" s="17"/>
      <c r="D66" s="21"/>
      <c r="E66" s="48"/>
      <c r="F66" s="49"/>
      <c r="G66" s="49"/>
      <c r="H66" s="49"/>
      <c r="I66" s="49"/>
      <c r="J66" s="49"/>
      <c r="K66" s="49"/>
      <c r="L66" s="50"/>
      <c r="M66" s="41">
        <f>SUM(E66:L66)</f>
        <v>0</v>
      </c>
      <c r="N66" s="49"/>
      <c r="O66" s="49"/>
      <c r="P66" s="49"/>
      <c r="Q66" s="49"/>
      <c r="R66" s="49"/>
      <c r="S66" s="49"/>
      <c r="T66" s="49"/>
      <c r="U66" s="49"/>
      <c r="V66" s="49"/>
      <c r="W66" s="49"/>
      <c r="X66" s="41">
        <f>SUM(N66:W66)</f>
        <v>0</v>
      </c>
      <c r="Y66" s="13"/>
      <c r="Z66" s="13"/>
      <c r="AA66" s="13"/>
      <c r="AB66" s="13"/>
      <c r="AC66" s="13"/>
      <c r="AD66" s="14"/>
      <c r="AE66" s="15"/>
      <c r="AF66" s="13"/>
      <c r="AG66" s="13"/>
      <c r="AH66" s="13"/>
      <c r="AI66" s="13"/>
      <c r="AJ66" s="14"/>
      <c r="AK66" s="15"/>
      <c r="AL66" s="13"/>
      <c r="AM66" s="13"/>
      <c r="AN66" s="13"/>
      <c r="AO66" s="13"/>
      <c r="AP66" s="14"/>
      <c r="AQ66" s="15"/>
      <c r="AR66" s="13"/>
      <c r="AS66" s="13"/>
      <c r="AT66" s="13"/>
      <c r="AU66" s="13"/>
      <c r="AV66" s="14"/>
      <c r="AW66" s="15"/>
      <c r="AX66" s="13"/>
      <c r="AY66" s="13"/>
      <c r="AZ66" s="13"/>
      <c r="BA66" s="13"/>
      <c r="BB66" s="14"/>
      <c r="BC66" s="15"/>
      <c r="BD66" s="13"/>
      <c r="BE66" s="13"/>
      <c r="BF66" s="13"/>
      <c r="BG66" s="13"/>
      <c r="BH66" s="14"/>
      <c r="BI66" s="15"/>
      <c r="BJ66" s="13"/>
      <c r="BK66" s="13"/>
      <c r="BL66" s="13"/>
      <c r="BM66" s="13"/>
      <c r="BN66" s="14"/>
      <c r="BO66" s="13"/>
      <c r="BP66" s="13"/>
      <c r="BQ66" s="13"/>
      <c r="BR66" s="13"/>
      <c r="BS66" s="13"/>
      <c r="BT66" s="16"/>
    </row>
    <row r="67" spans="2:72">
      <c r="B67" s="47" t="s">
        <v>82</v>
      </c>
      <c r="C67" s="17"/>
      <c r="D67" s="21"/>
      <c r="E67" s="51"/>
      <c r="F67" s="52"/>
      <c r="G67" s="52"/>
      <c r="H67" s="52"/>
      <c r="I67" s="52"/>
      <c r="J67" s="52"/>
      <c r="K67" s="52"/>
      <c r="L67" s="52"/>
      <c r="M67" s="42"/>
      <c r="N67" s="52"/>
      <c r="O67" s="52"/>
      <c r="P67" s="52"/>
      <c r="Q67" s="52"/>
      <c r="R67" s="52"/>
      <c r="S67" s="52"/>
      <c r="T67" s="52"/>
      <c r="U67" s="52"/>
      <c r="V67" s="52"/>
      <c r="W67" s="52"/>
      <c r="X67" s="42"/>
      <c r="Y67" s="13"/>
      <c r="Z67" s="13"/>
      <c r="AA67" s="13"/>
      <c r="AB67" s="13"/>
      <c r="AC67" s="13"/>
      <c r="AD67" s="14"/>
      <c r="AE67" s="15"/>
      <c r="AF67" s="13"/>
      <c r="AG67" s="13"/>
      <c r="AH67" s="13"/>
      <c r="AI67" s="13"/>
      <c r="AJ67" s="14"/>
      <c r="AK67" s="15"/>
      <c r="AL67" s="13"/>
      <c r="AM67" s="13"/>
      <c r="AN67" s="13"/>
      <c r="AO67" s="13"/>
      <c r="AP67" s="14"/>
      <c r="AQ67" s="15"/>
      <c r="AR67" s="13"/>
      <c r="AS67" s="13"/>
      <c r="AT67" s="13"/>
      <c r="AU67" s="13"/>
      <c r="AV67" s="14"/>
      <c r="AW67" s="15"/>
      <c r="AX67" s="13"/>
      <c r="AY67" s="13"/>
      <c r="AZ67" s="13"/>
      <c r="BA67" s="13"/>
      <c r="BB67" s="14"/>
      <c r="BC67" s="15"/>
      <c r="BD67" s="13"/>
      <c r="BE67" s="13"/>
      <c r="BF67" s="13"/>
      <c r="BG67" s="13"/>
      <c r="BH67" s="14"/>
      <c r="BI67" s="15"/>
      <c r="BJ67" s="13"/>
      <c r="BK67" s="13"/>
      <c r="BL67" s="13"/>
      <c r="BM67" s="13"/>
      <c r="BN67" s="14"/>
      <c r="BO67" s="13"/>
      <c r="BP67" s="13"/>
      <c r="BQ67" s="13"/>
      <c r="BR67" s="13"/>
      <c r="BS67" s="13"/>
      <c r="BT67" s="16"/>
    </row>
    <row r="68" spans="2:72">
      <c r="B68" s="47" t="s">
        <v>83</v>
      </c>
      <c r="C68" s="17"/>
      <c r="D68" s="21"/>
      <c r="E68" s="51"/>
      <c r="F68" s="52"/>
      <c r="G68" s="52"/>
      <c r="H68" s="52"/>
      <c r="I68" s="52"/>
      <c r="J68" s="52"/>
      <c r="K68" s="52"/>
      <c r="L68" s="52"/>
      <c r="M68" s="42"/>
      <c r="N68" s="52"/>
      <c r="O68" s="52"/>
      <c r="P68" s="52"/>
      <c r="Q68" s="52"/>
      <c r="R68" s="52"/>
      <c r="S68" s="52"/>
      <c r="T68" s="52"/>
      <c r="U68" s="52"/>
      <c r="V68" s="52"/>
      <c r="W68" s="52"/>
      <c r="X68" s="42"/>
      <c r="Y68" s="13"/>
      <c r="Z68" s="13"/>
      <c r="AA68" s="13"/>
      <c r="AB68" s="13"/>
      <c r="AC68" s="13"/>
      <c r="AD68" s="14"/>
      <c r="AE68" s="15"/>
      <c r="AF68" s="13"/>
      <c r="AG68" s="13"/>
      <c r="AH68" s="13"/>
      <c r="AI68" s="13"/>
      <c r="AJ68" s="14"/>
      <c r="AK68" s="15"/>
      <c r="AL68" s="13"/>
      <c r="AM68" s="13"/>
      <c r="AN68" s="13"/>
      <c r="AO68" s="13"/>
      <c r="AP68" s="14"/>
      <c r="AQ68" s="15"/>
      <c r="AR68" s="13"/>
      <c r="AS68" s="13"/>
      <c r="AT68" s="13"/>
      <c r="AU68" s="13"/>
      <c r="AV68" s="14"/>
      <c r="AW68" s="15"/>
      <c r="AX68" s="13"/>
      <c r="AY68" s="13"/>
      <c r="AZ68" s="13"/>
      <c r="BA68" s="13"/>
      <c r="BB68" s="14"/>
      <c r="BC68" s="15"/>
      <c r="BD68" s="13"/>
      <c r="BE68" s="13"/>
      <c r="BF68" s="13"/>
      <c r="BG68" s="13"/>
      <c r="BH68" s="14"/>
      <c r="BI68" s="15"/>
      <c r="BJ68" s="13"/>
      <c r="BK68" s="13"/>
      <c r="BL68" s="13"/>
      <c r="BM68" s="13"/>
      <c r="BN68" s="14"/>
      <c r="BO68" s="13"/>
      <c r="BP68" s="13"/>
      <c r="BQ68" s="13"/>
      <c r="BR68" s="13"/>
      <c r="BS68" s="13"/>
      <c r="BT68" s="16"/>
    </row>
    <row r="69" spans="2:72">
      <c r="B69" s="46" t="s">
        <v>84</v>
      </c>
      <c r="C69" s="17"/>
      <c r="D69" s="21"/>
      <c r="E69" s="48"/>
      <c r="F69" s="49"/>
      <c r="G69" s="49"/>
      <c r="H69" s="49"/>
      <c r="I69" s="49"/>
      <c r="J69" s="49"/>
      <c r="K69" s="49"/>
      <c r="L69" s="50"/>
      <c r="M69" s="41">
        <f>SUM(E69:L69)</f>
        <v>0</v>
      </c>
      <c r="N69" s="49"/>
      <c r="O69" s="49"/>
      <c r="P69" s="49"/>
      <c r="Q69" s="49"/>
      <c r="R69" s="49"/>
      <c r="S69" s="49"/>
      <c r="T69" s="49"/>
      <c r="U69" s="49"/>
      <c r="V69" s="49"/>
      <c r="W69" s="49"/>
      <c r="X69" s="41">
        <f>SUM(N69:W69)</f>
        <v>0</v>
      </c>
      <c r="Y69" s="13"/>
      <c r="Z69" s="13"/>
      <c r="AA69" s="13"/>
      <c r="AB69" s="13"/>
      <c r="AC69" s="13"/>
      <c r="AD69" s="14"/>
      <c r="AE69" s="15"/>
      <c r="AF69" s="13"/>
      <c r="AG69" s="13"/>
      <c r="AH69" s="13"/>
      <c r="AI69" s="13"/>
      <c r="AJ69" s="14"/>
      <c r="AK69" s="15"/>
      <c r="AL69" s="13"/>
      <c r="AM69" s="13"/>
      <c r="AN69" s="13"/>
      <c r="AO69" s="13"/>
      <c r="AP69" s="14"/>
      <c r="AQ69" s="15"/>
      <c r="AR69" s="13"/>
      <c r="AS69" s="13"/>
      <c r="AT69" s="13"/>
      <c r="AU69" s="13"/>
      <c r="AV69" s="14"/>
      <c r="AW69" s="15"/>
      <c r="AX69" s="13"/>
      <c r="AY69" s="13"/>
      <c r="AZ69" s="13"/>
      <c r="BA69" s="13"/>
      <c r="BB69" s="14"/>
      <c r="BC69" s="15"/>
      <c r="BD69" s="13"/>
      <c r="BE69" s="13"/>
      <c r="BF69" s="13"/>
      <c r="BG69" s="13"/>
      <c r="BH69" s="14"/>
      <c r="BI69" s="15"/>
      <c r="BJ69" s="13"/>
      <c r="BK69" s="13"/>
      <c r="BL69" s="13"/>
      <c r="BM69" s="13"/>
      <c r="BN69" s="14"/>
      <c r="BO69" s="13"/>
      <c r="BP69" s="13"/>
      <c r="BQ69" s="13"/>
      <c r="BR69" s="13"/>
      <c r="BS69" s="13"/>
      <c r="BT69" s="16"/>
    </row>
    <row r="70" spans="2:72">
      <c r="B70" s="47" t="s">
        <v>85</v>
      </c>
      <c r="C70" s="17"/>
      <c r="D70" s="21"/>
      <c r="E70" s="51"/>
      <c r="F70" s="52"/>
      <c r="G70" s="52"/>
      <c r="H70" s="52"/>
      <c r="I70" s="52"/>
      <c r="J70" s="52"/>
      <c r="K70" s="52"/>
      <c r="L70" s="52"/>
      <c r="M70" s="42"/>
      <c r="N70" s="52"/>
      <c r="O70" s="52"/>
      <c r="P70" s="52"/>
      <c r="Q70" s="52"/>
      <c r="R70" s="52"/>
      <c r="S70" s="52"/>
      <c r="T70" s="52"/>
      <c r="U70" s="52"/>
      <c r="V70" s="52"/>
      <c r="W70" s="52"/>
      <c r="X70" s="42"/>
      <c r="Y70" s="13"/>
      <c r="Z70" s="13"/>
      <c r="AA70" s="13"/>
      <c r="AB70" s="13"/>
      <c r="AC70" s="13"/>
      <c r="AD70" s="14"/>
      <c r="AE70" s="15"/>
      <c r="AF70" s="13"/>
      <c r="AG70" s="13"/>
      <c r="AH70" s="13"/>
      <c r="AI70" s="13"/>
      <c r="AJ70" s="14"/>
      <c r="AK70" s="15"/>
      <c r="AL70" s="13"/>
      <c r="AM70" s="13"/>
      <c r="AN70" s="13"/>
      <c r="AO70" s="13"/>
      <c r="AP70" s="14"/>
      <c r="AQ70" s="15"/>
      <c r="AR70" s="13"/>
      <c r="AS70" s="13"/>
      <c r="AT70" s="13"/>
      <c r="AU70" s="13"/>
      <c r="AV70" s="14"/>
      <c r="AW70" s="15"/>
      <c r="AX70" s="13"/>
      <c r="AY70" s="13"/>
      <c r="AZ70" s="13"/>
      <c r="BA70" s="13"/>
      <c r="BB70" s="14"/>
      <c r="BC70" s="15"/>
      <c r="BD70" s="13"/>
      <c r="BE70" s="13"/>
      <c r="BF70" s="13"/>
      <c r="BG70" s="13"/>
      <c r="BH70" s="14"/>
      <c r="BI70" s="15"/>
      <c r="BJ70" s="13"/>
      <c r="BK70" s="13"/>
      <c r="BL70" s="13"/>
      <c r="BM70" s="13"/>
      <c r="BN70" s="14"/>
      <c r="BO70" s="13"/>
      <c r="BP70" s="13"/>
      <c r="BQ70" s="13"/>
      <c r="BR70" s="13"/>
      <c r="BS70" s="13"/>
      <c r="BT70" s="16"/>
    </row>
    <row r="71" spans="2:72">
      <c r="B71" s="47" t="s">
        <v>86</v>
      </c>
      <c r="C71" s="17"/>
      <c r="D71" s="21"/>
      <c r="E71" s="51"/>
      <c r="F71" s="52"/>
      <c r="G71" s="52"/>
      <c r="H71" s="52"/>
      <c r="I71" s="52"/>
      <c r="J71" s="52"/>
      <c r="K71" s="52"/>
      <c r="L71" s="52"/>
      <c r="M71" s="42"/>
      <c r="N71" s="52"/>
      <c r="O71" s="52"/>
      <c r="P71" s="52"/>
      <c r="Q71" s="52"/>
      <c r="R71" s="52"/>
      <c r="S71" s="52"/>
      <c r="T71" s="52"/>
      <c r="U71" s="52"/>
      <c r="V71" s="52"/>
      <c r="W71" s="52"/>
      <c r="X71" s="42"/>
      <c r="Y71" s="13"/>
      <c r="Z71" s="13"/>
      <c r="AA71" s="13"/>
      <c r="AB71" s="13"/>
      <c r="AC71" s="13"/>
      <c r="AD71" s="14"/>
      <c r="AE71" s="15"/>
      <c r="AF71" s="13"/>
      <c r="AG71" s="13"/>
      <c r="AH71" s="13"/>
      <c r="AI71" s="13"/>
      <c r="AJ71" s="14"/>
      <c r="AK71" s="15"/>
      <c r="AL71" s="13"/>
      <c r="AM71" s="13"/>
      <c r="AN71" s="13"/>
      <c r="AO71" s="13"/>
      <c r="AP71" s="14"/>
      <c r="AQ71" s="15"/>
      <c r="AR71" s="13"/>
      <c r="AS71" s="13"/>
      <c r="AT71" s="13"/>
      <c r="AU71" s="13"/>
      <c r="AV71" s="14"/>
      <c r="AW71" s="15"/>
      <c r="AX71" s="13"/>
      <c r="AY71" s="13"/>
      <c r="AZ71" s="13"/>
      <c r="BA71" s="13"/>
      <c r="BB71" s="14"/>
      <c r="BC71" s="15"/>
      <c r="BD71" s="13"/>
      <c r="BE71" s="13"/>
      <c r="BF71" s="13"/>
      <c r="BG71" s="13"/>
      <c r="BH71" s="14"/>
      <c r="BI71" s="15"/>
      <c r="BJ71" s="13"/>
      <c r="BK71" s="13"/>
      <c r="BL71" s="13"/>
      <c r="BM71" s="13"/>
      <c r="BN71" s="14"/>
      <c r="BO71" s="13"/>
      <c r="BP71" s="13"/>
      <c r="BQ71" s="13"/>
      <c r="BR71" s="13"/>
      <c r="BS71" s="13"/>
      <c r="BT71" s="16"/>
    </row>
    <row r="72" spans="2:72">
      <c r="B72" s="46" t="s">
        <v>87</v>
      </c>
      <c r="C72" s="17"/>
      <c r="D72" s="21"/>
      <c r="E72" s="48"/>
      <c r="F72" s="49"/>
      <c r="G72" s="49"/>
      <c r="H72" s="49"/>
      <c r="I72" s="49"/>
      <c r="J72" s="49"/>
      <c r="K72" s="49"/>
      <c r="L72" s="50"/>
      <c r="M72" s="41">
        <f>SUM(E72:L72)</f>
        <v>0</v>
      </c>
      <c r="N72" s="49"/>
      <c r="O72" s="49"/>
      <c r="P72" s="49"/>
      <c r="Q72" s="49"/>
      <c r="R72" s="49"/>
      <c r="S72" s="49"/>
      <c r="T72" s="49"/>
      <c r="U72" s="49"/>
      <c r="V72" s="49"/>
      <c r="W72" s="49"/>
      <c r="X72" s="41">
        <f>SUM(N72:W72)</f>
        <v>0</v>
      </c>
      <c r="Y72" s="13"/>
      <c r="Z72" s="13"/>
      <c r="AA72" s="13"/>
      <c r="AB72" s="13"/>
      <c r="AC72" s="13"/>
      <c r="AD72" s="14"/>
      <c r="AE72" s="15"/>
      <c r="AF72" s="13"/>
      <c r="AG72" s="13"/>
      <c r="AH72" s="13"/>
      <c r="AI72" s="13"/>
      <c r="AJ72" s="14"/>
      <c r="AK72" s="15"/>
      <c r="AL72" s="13"/>
      <c r="AM72" s="13"/>
      <c r="AN72" s="13"/>
      <c r="AO72" s="13"/>
      <c r="AP72" s="14"/>
      <c r="AQ72" s="15"/>
      <c r="AR72" s="13"/>
      <c r="AS72" s="13"/>
      <c r="AT72" s="13"/>
      <c r="AU72" s="13"/>
      <c r="AV72" s="14"/>
      <c r="AW72" s="15"/>
      <c r="AX72" s="13"/>
      <c r="AY72" s="13"/>
      <c r="AZ72" s="13"/>
      <c r="BA72" s="13"/>
      <c r="BB72" s="14"/>
      <c r="BC72" s="15"/>
      <c r="BD72" s="13"/>
      <c r="BE72" s="13"/>
      <c r="BF72" s="13"/>
      <c r="BG72" s="13"/>
      <c r="BH72" s="14"/>
      <c r="BI72" s="15"/>
      <c r="BJ72" s="13"/>
      <c r="BK72" s="13"/>
      <c r="BL72" s="13"/>
      <c r="BM72" s="13"/>
      <c r="BN72" s="14"/>
      <c r="BO72" s="13"/>
      <c r="BP72" s="13"/>
      <c r="BQ72" s="13"/>
      <c r="BR72" s="13"/>
      <c r="BS72" s="13"/>
      <c r="BT72" s="16"/>
    </row>
    <row r="73" spans="2:72">
      <c r="B73" s="47" t="s">
        <v>88</v>
      </c>
      <c r="C73" s="17"/>
      <c r="D73" s="21"/>
      <c r="E73" s="51"/>
      <c r="F73" s="52"/>
      <c r="G73" s="52"/>
      <c r="H73" s="52"/>
      <c r="I73" s="52"/>
      <c r="J73" s="52"/>
      <c r="K73" s="52"/>
      <c r="L73" s="52"/>
      <c r="M73" s="42"/>
      <c r="N73" s="52"/>
      <c r="O73" s="52"/>
      <c r="P73" s="52"/>
      <c r="Q73" s="52"/>
      <c r="R73" s="52"/>
      <c r="S73" s="52"/>
      <c r="T73" s="52"/>
      <c r="U73" s="52"/>
      <c r="V73" s="52"/>
      <c r="W73" s="52"/>
      <c r="X73" s="42"/>
      <c r="Y73" s="13"/>
      <c r="Z73" s="13"/>
      <c r="AA73" s="13"/>
      <c r="AB73" s="13"/>
      <c r="AC73" s="13"/>
      <c r="AD73" s="14"/>
      <c r="AE73" s="15"/>
      <c r="AF73" s="13"/>
      <c r="AG73" s="13"/>
      <c r="AH73" s="13"/>
      <c r="AI73" s="13"/>
      <c r="AJ73" s="14"/>
      <c r="AK73" s="15"/>
      <c r="AL73" s="13"/>
      <c r="AM73" s="13"/>
      <c r="AN73" s="13"/>
      <c r="AO73" s="13"/>
      <c r="AP73" s="14"/>
      <c r="AQ73" s="15"/>
      <c r="AR73" s="13"/>
      <c r="AS73" s="13"/>
      <c r="AT73" s="13"/>
      <c r="AU73" s="13"/>
      <c r="AV73" s="14"/>
      <c r="AW73" s="15"/>
      <c r="AX73" s="13"/>
      <c r="AY73" s="13"/>
      <c r="AZ73" s="13"/>
      <c r="BA73" s="13"/>
      <c r="BB73" s="14"/>
      <c r="BC73" s="15"/>
      <c r="BD73" s="13"/>
      <c r="BE73" s="13"/>
      <c r="BF73" s="13"/>
      <c r="BG73" s="13"/>
      <c r="BH73" s="14"/>
      <c r="BI73" s="15"/>
      <c r="BJ73" s="13"/>
      <c r="BK73" s="13"/>
      <c r="BL73" s="13"/>
      <c r="BM73" s="13"/>
      <c r="BN73" s="14"/>
      <c r="BO73" s="13"/>
      <c r="BP73" s="13"/>
      <c r="BQ73" s="13"/>
      <c r="BR73" s="13"/>
      <c r="BS73" s="13"/>
      <c r="BT73" s="16"/>
    </row>
    <row r="74" spans="2:72">
      <c r="B74" s="47" t="s">
        <v>89</v>
      </c>
      <c r="C74" s="17"/>
      <c r="D74" s="21"/>
      <c r="E74" s="51"/>
      <c r="F74" s="52"/>
      <c r="G74" s="52"/>
      <c r="H74" s="52"/>
      <c r="I74" s="52"/>
      <c r="J74" s="52"/>
      <c r="K74" s="52"/>
      <c r="L74" s="52"/>
      <c r="M74" s="42"/>
      <c r="N74" s="52"/>
      <c r="O74" s="52"/>
      <c r="P74" s="52"/>
      <c r="Q74" s="52"/>
      <c r="R74" s="52"/>
      <c r="S74" s="52"/>
      <c r="T74" s="52"/>
      <c r="U74" s="52"/>
      <c r="V74" s="52"/>
      <c r="W74" s="52"/>
      <c r="X74" s="42"/>
      <c r="Y74" s="13"/>
      <c r="Z74" s="13"/>
      <c r="AA74" s="13"/>
      <c r="AB74" s="13"/>
      <c r="AC74" s="13"/>
      <c r="AD74" s="14"/>
      <c r="AE74" s="15"/>
      <c r="AF74" s="13"/>
      <c r="AG74" s="13"/>
      <c r="AH74" s="13"/>
      <c r="AI74" s="13"/>
      <c r="AJ74" s="14"/>
      <c r="AK74" s="15"/>
      <c r="AL74" s="13"/>
      <c r="AM74" s="13"/>
      <c r="AN74" s="13"/>
      <c r="AO74" s="13"/>
      <c r="AP74" s="14"/>
      <c r="AQ74" s="15"/>
      <c r="AR74" s="13"/>
      <c r="AS74" s="13"/>
      <c r="AT74" s="13"/>
      <c r="AU74" s="13"/>
      <c r="AV74" s="14"/>
      <c r="AW74" s="15"/>
      <c r="AX74" s="13"/>
      <c r="AY74" s="13"/>
      <c r="AZ74" s="13"/>
      <c r="BA74" s="13"/>
      <c r="BB74" s="14"/>
      <c r="BC74" s="15"/>
      <c r="BD74" s="13"/>
      <c r="BE74" s="13"/>
      <c r="BF74" s="13"/>
      <c r="BG74" s="13"/>
      <c r="BH74" s="14"/>
      <c r="BI74" s="15"/>
      <c r="BJ74" s="13"/>
      <c r="BK74" s="13"/>
      <c r="BL74" s="13"/>
      <c r="BM74" s="13"/>
      <c r="BN74" s="14"/>
      <c r="BO74" s="13"/>
      <c r="BP74" s="13"/>
      <c r="BQ74" s="13"/>
      <c r="BR74" s="13"/>
      <c r="BS74" s="13"/>
      <c r="BT74" s="16"/>
    </row>
    <row r="75" spans="2:72">
      <c r="B75" s="46" t="s">
        <v>90</v>
      </c>
      <c r="C75" s="17"/>
      <c r="D75" s="21"/>
      <c r="E75" s="48"/>
      <c r="F75" s="49"/>
      <c r="G75" s="49"/>
      <c r="H75" s="49"/>
      <c r="I75" s="49"/>
      <c r="J75" s="49"/>
      <c r="K75" s="49"/>
      <c r="L75" s="50"/>
      <c r="M75" s="41">
        <f>SUM(E75:L75)</f>
        <v>0</v>
      </c>
      <c r="N75" s="49"/>
      <c r="O75" s="49"/>
      <c r="P75" s="49"/>
      <c r="Q75" s="49"/>
      <c r="R75" s="49"/>
      <c r="S75" s="49"/>
      <c r="T75" s="49"/>
      <c r="U75" s="49"/>
      <c r="V75" s="49"/>
      <c r="W75" s="49"/>
      <c r="X75" s="41">
        <f>SUM(N75:W75)</f>
        <v>0</v>
      </c>
      <c r="Y75" s="13"/>
      <c r="Z75" s="13"/>
      <c r="AA75" s="13"/>
      <c r="AB75" s="13"/>
      <c r="AC75" s="13"/>
      <c r="AD75" s="14"/>
      <c r="AE75" s="15"/>
      <c r="AF75" s="13"/>
      <c r="AG75" s="13"/>
      <c r="AH75" s="13"/>
      <c r="AI75" s="13"/>
      <c r="AJ75" s="14"/>
      <c r="AK75" s="15"/>
      <c r="AL75" s="13"/>
      <c r="AM75" s="13"/>
      <c r="AN75" s="13"/>
      <c r="AO75" s="13"/>
      <c r="AP75" s="14"/>
      <c r="AQ75" s="15"/>
      <c r="AR75" s="13"/>
      <c r="AS75" s="13"/>
      <c r="AT75" s="13"/>
      <c r="AU75" s="13"/>
      <c r="AV75" s="14"/>
      <c r="AW75" s="15"/>
      <c r="AX75" s="13"/>
      <c r="AY75" s="13"/>
      <c r="AZ75" s="13"/>
      <c r="BA75" s="13"/>
      <c r="BB75" s="14"/>
      <c r="BC75" s="15"/>
      <c r="BD75" s="13"/>
      <c r="BE75" s="13"/>
      <c r="BF75" s="13"/>
      <c r="BG75" s="13"/>
      <c r="BH75" s="14"/>
      <c r="BI75" s="15"/>
      <c r="BJ75" s="13"/>
      <c r="BK75" s="13"/>
      <c r="BL75" s="13"/>
      <c r="BM75" s="13"/>
      <c r="BN75" s="14"/>
      <c r="BO75" s="13"/>
      <c r="BP75" s="13"/>
      <c r="BQ75" s="13"/>
      <c r="BR75" s="13"/>
      <c r="BS75" s="13"/>
      <c r="BT75" s="16"/>
    </row>
    <row r="76" spans="2:72">
      <c r="B76" s="47" t="s">
        <v>91</v>
      </c>
      <c r="C76" s="17"/>
      <c r="D76" s="21"/>
      <c r="E76" s="51"/>
      <c r="F76" s="52"/>
      <c r="G76" s="52"/>
      <c r="H76" s="52"/>
      <c r="I76" s="52"/>
      <c r="J76" s="52"/>
      <c r="K76" s="52"/>
      <c r="L76" s="52"/>
      <c r="M76" s="42"/>
      <c r="N76" s="52"/>
      <c r="O76" s="52"/>
      <c r="P76" s="52"/>
      <c r="Q76" s="52"/>
      <c r="R76" s="52"/>
      <c r="S76" s="52"/>
      <c r="T76" s="52"/>
      <c r="U76" s="52"/>
      <c r="V76" s="52"/>
      <c r="W76" s="52"/>
      <c r="X76" s="42"/>
      <c r="Y76" s="13"/>
      <c r="Z76" s="13"/>
      <c r="AA76" s="13"/>
      <c r="AB76" s="13"/>
      <c r="AC76" s="13"/>
      <c r="AD76" s="14"/>
      <c r="AE76" s="15"/>
      <c r="AF76" s="13"/>
      <c r="AG76" s="13"/>
      <c r="AH76" s="13"/>
      <c r="AI76" s="13"/>
      <c r="AJ76" s="14"/>
      <c r="AK76" s="15"/>
      <c r="AL76" s="13"/>
      <c r="AM76" s="13"/>
      <c r="AN76" s="13"/>
      <c r="AO76" s="13"/>
      <c r="AP76" s="14"/>
      <c r="AQ76" s="15"/>
      <c r="AR76" s="13"/>
      <c r="AS76" s="13"/>
      <c r="AT76" s="13"/>
      <c r="AU76" s="13"/>
      <c r="AV76" s="14"/>
      <c r="AW76" s="15"/>
      <c r="AX76" s="13"/>
      <c r="AY76" s="13"/>
      <c r="AZ76" s="13"/>
      <c r="BA76" s="13"/>
      <c r="BB76" s="14"/>
      <c r="BC76" s="15"/>
      <c r="BD76" s="13"/>
      <c r="BE76" s="13"/>
      <c r="BF76" s="13"/>
      <c r="BG76" s="13"/>
      <c r="BH76" s="14"/>
      <c r="BI76" s="15"/>
      <c r="BJ76" s="13"/>
      <c r="BK76" s="13"/>
      <c r="BL76" s="13"/>
      <c r="BM76" s="13"/>
      <c r="BN76" s="14"/>
      <c r="BO76" s="13"/>
      <c r="BP76" s="13"/>
      <c r="BQ76" s="13"/>
      <c r="BR76" s="13"/>
      <c r="BS76" s="13"/>
      <c r="BT76" s="16"/>
    </row>
    <row r="77" spans="2:72">
      <c r="B77" s="47" t="s">
        <v>92</v>
      </c>
      <c r="C77" s="17"/>
      <c r="D77" s="21"/>
      <c r="E77" s="51"/>
      <c r="F77" s="52"/>
      <c r="G77" s="52"/>
      <c r="H77" s="52"/>
      <c r="I77" s="52"/>
      <c r="J77" s="52"/>
      <c r="K77" s="52"/>
      <c r="L77" s="52"/>
      <c r="M77" s="43"/>
      <c r="N77" s="52"/>
      <c r="O77" s="52"/>
      <c r="P77" s="52"/>
      <c r="Q77" s="52"/>
      <c r="R77" s="52"/>
      <c r="S77" s="52"/>
      <c r="T77" s="52"/>
      <c r="U77" s="52"/>
      <c r="V77" s="52"/>
      <c r="W77" s="52"/>
      <c r="X77" s="43"/>
      <c r="Y77" s="13"/>
      <c r="Z77" s="13"/>
      <c r="AA77" s="13"/>
      <c r="AB77" s="13"/>
      <c r="AC77" s="13"/>
      <c r="AD77" s="14"/>
      <c r="AE77" s="15"/>
      <c r="AF77" s="13"/>
      <c r="AG77" s="13"/>
      <c r="AH77" s="13"/>
      <c r="AI77" s="13"/>
      <c r="AJ77" s="14"/>
      <c r="AK77" s="15"/>
      <c r="AL77" s="13"/>
      <c r="AM77" s="13"/>
      <c r="AN77" s="13"/>
      <c r="AO77" s="13"/>
      <c r="AP77" s="14"/>
      <c r="AQ77" s="15"/>
      <c r="AR77" s="13"/>
      <c r="AS77" s="13"/>
      <c r="AT77" s="13"/>
      <c r="AU77" s="13"/>
      <c r="AV77" s="14"/>
      <c r="AW77" s="15"/>
      <c r="AX77" s="13"/>
      <c r="AY77" s="13"/>
      <c r="AZ77" s="13"/>
      <c r="BA77" s="13"/>
      <c r="BB77" s="14"/>
      <c r="BC77" s="15"/>
      <c r="BD77" s="13"/>
      <c r="BE77" s="13"/>
      <c r="BF77" s="13"/>
      <c r="BG77" s="13"/>
      <c r="BH77" s="14"/>
      <c r="BI77" s="15"/>
      <c r="BJ77" s="13"/>
      <c r="BK77" s="13"/>
      <c r="BL77" s="13"/>
      <c r="BM77" s="13"/>
      <c r="BN77" s="14"/>
      <c r="BO77" s="13"/>
      <c r="BP77" s="13"/>
      <c r="BQ77" s="13"/>
      <c r="BR77" s="13"/>
      <c r="BS77" s="13"/>
      <c r="BT77" s="16"/>
    </row>
    <row r="78" spans="2:72">
      <c r="B78" s="23" t="s">
        <v>93</v>
      </c>
      <c r="C78" s="24"/>
      <c r="D78" s="25"/>
      <c r="E78" s="45">
        <f>E14+E30+E46+E62</f>
        <v>0</v>
      </c>
      <c r="F78" s="45">
        <f>F14+F30+F46+F62</f>
        <v>0</v>
      </c>
      <c r="G78" s="45">
        <f>G14+G30+G46+G62</f>
        <v>0</v>
      </c>
      <c r="H78" s="45">
        <f>H14+H30+H46+H62</f>
        <v>0</v>
      </c>
      <c r="I78" s="45">
        <f>I14+I30+I46+I62</f>
        <v>0</v>
      </c>
      <c r="J78" s="45">
        <f>J14+J30+J46+J62</f>
        <v>0</v>
      </c>
      <c r="K78" s="45">
        <f>K14+K30+K46+K62</f>
        <v>0</v>
      </c>
      <c r="L78" s="45">
        <f>L14+L30+L46+L62</f>
        <v>0</v>
      </c>
      <c r="M78" s="45">
        <f>M14+M30+M46+M62</f>
        <v>0</v>
      </c>
      <c r="N78" s="45">
        <f>N14+N30+N46+N62</f>
        <v>0</v>
      </c>
      <c r="O78" s="45">
        <f>O14+O30+O46+O62</f>
        <v>0</v>
      </c>
      <c r="P78" s="45">
        <f>P14+P30+P46+P62</f>
        <v>0</v>
      </c>
      <c r="Q78" s="45">
        <f>Q14+Q30+Q46+Q62</f>
        <v>0</v>
      </c>
      <c r="R78" s="45">
        <f>R14+R30+R46+R62</f>
        <v>0</v>
      </c>
      <c r="S78" s="45">
        <f>S14+S30+S46+S62</f>
        <v>0</v>
      </c>
      <c r="T78" s="45">
        <f>T14+T30+T46+T62</f>
        <v>0</v>
      </c>
      <c r="U78" s="45">
        <f>U14+U30+U46+U62</f>
        <v>0</v>
      </c>
      <c r="V78" s="45">
        <f>V14+V30+V46+V62</f>
        <v>0</v>
      </c>
      <c r="W78" s="45">
        <f>W14+W30+W46+W62</f>
        <v>0</v>
      </c>
      <c r="X78" s="45">
        <f>X14+X30+X46+X62</f>
        <v>0</v>
      </c>
      <c r="Y78" s="4"/>
      <c r="Z78" s="4"/>
      <c r="AA78" s="4"/>
      <c r="AB78" s="4"/>
      <c r="AC78" s="4"/>
      <c r="AD78" s="7"/>
      <c r="AE78" s="8"/>
      <c r="AF78" s="4"/>
      <c r="AG78" s="4"/>
      <c r="AH78" s="4"/>
      <c r="AI78" s="4"/>
      <c r="AJ78" s="7"/>
      <c r="AK78" s="8"/>
      <c r="AL78" s="4"/>
      <c r="AM78" s="4"/>
      <c r="AN78" s="4"/>
      <c r="AO78" s="4"/>
      <c r="AP78" s="7"/>
      <c r="AQ78" s="8"/>
      <c r="AR78" s="4"/>
      <c r="AS78" s="4"/>
      <c r="AT78" s="4"/>
      <c r="AU78" s="4"/>
      <c r="AV78" s="7"/>
      <c r="AW78" s="8"/>
      <c r="AX78" s="4"/>
      <c r="AY78" s="4"/>
      <c r="AZ78" s="4"/>
      <c r="BA78" s="4"/>
      <c r="BB78" s="7"/>
      <c r="BC78" s="8"/>
      <c r="BD78" s="4"/>
      <c r="BE78" s="4"/>
      <c r="BF78" s="4"/>
      <c r="BG78" s="4"/>
      <c r="BH78" s="7"/>
      <c r="BI78" s="8"/>
      <c r="BJ78" s="4"/>
      <c r="BK78" s="4"/>
      <c r="BL78" s="4"/>
      <c r="BM78" s="4"/>
      <c r="BN78" s="7"/>
      <c r="BO78" s="4"/>
      <c r="BP78" s="4"/>
      <c r="BQ78" s="4"/>
      <c r="BR78" s="4"/>
      <c r="BS78" s="4"/>
      <c r="BT78" s="5"/>
    </row>
  </sheetData>
  <mergeCells count="17">
    <mergeCell ref="E12:M12"/>
    <mergeCell ref="N12:X12"/>
    <mergeCell ref="Y12:BT12"/>
    <mergeCell ref="B12:B13"/>
    <mergeCell ref="C12:C13"/>
    <mergeCell ref="D12:D13"/>
    <mergeCell ref="E13:H13"/>
    <mergeCell ref="I13:L13"/>
    <mergeCell ref="N13:W13"/>
    <mergeCell ref="Y13:AD13"/>
    <mergeCell ref="AE13:AJ13"/>
    <mergeCell ref="AK13:AP13"/>
    <mergeCell ref="AQ13:AV13"/>
    <mergeCell ref="AW13:BB13"/>
    <mergeCell ref="BC13:BH13"/>
    <mergeCell ref="BI13:BN13"/>
    <mergeCell ref="BO13:BT13"/>
  </mergeCells>
  <conditionalFormatting sqref="Y16:BT17 Y20:BT20 Y23:BT29 Y33:BT33 Y36:BT45 Y49:BT49 Y52:BT53 Y66:BT77">
    <cfRule type="expression" dxfId="0" priority="1">
      <formula>AND('3.GANTT CHART'!I$4&gt;='3.GANTT CHART'!XFD1048576,'3.GANTT CHART'!I$4&lt;='3.GANTT CHART'!XFD1048576)</formula>
    </cfRule>
  </conditionalFormatting>
  <conditionalFormatting sqref="Y56:BT56">
    <cfRule type="expression" dxfId="1" priority="2">
      <formula>AND('3.GANTT CHART'!I$4&gt;='3.GANTT CHART'!XFD1048576,'3.GANTT CHART'!I$4&lt;='3.GANTT CHART'!XFD1048576)</formula>
    </cfRule>
  </conditionalFormatting>
  <conditionalFormatting sqref="Y57:BT65">
    <cfRule type="expression" dxfId="2" priority="3">
      <formula>AND('3.GANTT CHART'!I$4&gt;='3.GANTT CHART'!XFD1048576,'3.GANTT CHART'!I$4&lt;='3.GANTT CHART'!XFD1048576)</formula>
    </cfRule>
  </conditionalFormatting>
  <conditionalFormatting sqref="Y30:BT32">
    <cfRule type="expression" dxfId="3" priority="4">
      <formula>AND('3.GANTT CHART'!I$4&gt;='3.GANTT CHART'!$B14,'3.GANTT CHART'!I$4&lt;='3.GANTT CHART'!$C14)</formula>
    </cfRule>
  </conditionalFormatting>
  <conditionalFormatting sqref="Y14:BT15">
    <cfRule type="expression" dxfId="4" priority="5">
      <formula>AND('3.GANTT CHART'!I$4&gt;='3.GANTT CHART'!$B7,'3.GANTT CHART'!I$4&lt;='3.GANTT CHART'!$C7)</formula>
    </cfRule>
  </conditionalFormatting>
  <conditionalFormatting sqref="Y34:BT35">
    <cfRule type="expression" dxfId="5" priority="6">
      <formula>AND('3.GANTT CHART'!I$4&gt;='3.GANTT CHART'!$B19,'3.GANTT CHART'!I$4&lt;='3.GANTT CHART'!$C19)</formula>
    </cfRule>
  </conditionalFormatting>
  <conditionalFormatting sqref="Y18:BT19">
    <cfRule type="expression" dxfId="6" priority="7">
      <formula>AND('3.GANTT CHART'!I$4&gt;='3.GANTT CHART'!$B10,'3.GANTT CHART'!I$4&lt;='3.GANTT CHART'!$C10)</formula>
    </cfRule>
  </conditionalFormatting>
  <conditionalFormatting sqref="Y21:BT22">
    <cfRule type="expression" dxfId="7" priority="8">
      <formula>AND('3.GANTT CHART'!I$4&gt;='3.GANTT CHART'!$B12,'3.GANTT CHART'!I$4&lt;='3.GANTT CHART'!$C12)</formula>
    </cfRule>
  </conditionalFormatting>
  <conditionalFormatting sqref="Y50:BT51 Y54:BT55">
    <cfRule type="expression" dxfId="8" priority="9">
      <formula>AND('3.GANTT CHART'!I$4&gt;='3.GANTT CHART'!XFD1048576,'3.GANTT CHART'!I$4&lt;='3.GANTT CHART'!XFD1048576)</formula>
    </cfRule>
  </conditionalFormatting>
  <conditionalFormatting sqref="Y46:BT48">
    <cfRule type="expression" dxfId="9" priority="10">
      <formula>AND('3.GANTT CHART'!I$4&gt;='3.GANTT CHART'!XFD1048576,'3.GANTT CHART'!I$4&lt;='3.GANTT CHART'!XFD1048576)</formula>
    </cfRule>
  </conditionalFormatting>
  <printOptions>
    <extLst>
      <ext uri="smNativeData">
        <pm:pageFlags xmlns:pm="smNativeData" id="1745591196" printRowHead="0" printColHead="0" printHeadLine="0" printFootLine="0" autoHeightHeader="0" autoHeightFooter="0" fitToPageBoth="0"/>
      </ext>
    </extLst>
  </printOptions>
  <pageMargins left="0.700000" right="0.700000" top="0.750000" bottom="0.750000" header="0.300000" footer="0.300000"/>
  <pageSetup paperSize="9" fitToWidth="0" fitToHeight="1"/>
  <headerFooter>
    <extLst>
      <ext uri="smNativeData">
        <pm:header xmlns:pm="smNativeData" id="1745591196" l="56" r="56" t="56" b="56" borderId="0" fillId="0" vertical="0"/>
        <pm:footer xmlns:pm="smNativeData" id="1745591196" l="56" r="56" t="56" b="56" borderId="0" fillId="0" vertical="2"/>
      </ext>
    </extLst>
  </headerFooter>
  <drawing r:id="rId1"/>
  <legacyDrawing r:id="rId3"/>
  <extLst>
    <ext uri="smNativeData">
      <pm:sheetPrefs xmlns:pm="smNativeData" day="1745591196" outlineProtect="1" showHorizontalRuler="1" showVerticalRuler="1" showAltShade="0">
        <pm:shade id="0" type="0" fgLvl="100" fgClr="000000" bgLvl="100" bgClr="FFFFFF"/>
        <pm:shade id="1" type="0" fgLvl="100" fgClr="000000" bgLvl="100" bgClr="FFFFFF"/>
      </pm:sheetPrefs>
    </ext>
  </extLst>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fitToPage="1"/>
  </sheetPr>
  <dimension ref="A1:BG63"/>
  <sheetViews>
    <sheetView tabSelected="1" view="normal" topLeftCell="A29" workbookViewId="0">
      <selection activeCell="F10" sqref="F10"/>
    </sheetView>
  </sheetViews>
  <sheetFormatPr defaultRowHeight="15.45"/>
  <cols>
    <col min="1" max="1" width="62.330357" customWidth="1" style="90"/>
    <col min="2" max="2" width="8.107143" customWidth="1" style="90"/>
    <col min="3" max="3" width="7.107143" customWidth="1" style="90"/>
    <col min="4" max="5" width="16.000000" customWidth="1" style="90"/>
    <col min="6" max="6" width="5.437500" customWidth="1" style="90"/>
    <col min="7" max="7" width="19.776786" customWidth="1" style="90"/>
    <col min="8" max="8" width="5.437500" customWidth="1" style="90"/>
    <col min="9" max="56" width="1.330357" customWidth="1" style="91"/>
    <col min="57" max="16384" width="8.776786" style="90"/>
  </cols>
  <sheetData>
    <row r="1" spans="1:1">
      <c r="A1" s="92" t="s">
        <v>94</v>
      </c>
    </row>
    <row r="2" spans="1:1">
      <c r="A2" s="93"/>
    </row>
    <row r="3" spans="1:1">
      <c r="A3" s="93" t="s">
        <v>95</v>
      </c>
    </row>
    <row r="4" spans="1:56" ht="15.75" customHeight="1">
      <c r="A4" s="93" t="s">
        <v>96</v>
      </c>
      <c r="I4" s="94" t="n">
        <v>1</v>
      </c>
      <c r="J4" s="95" t="n">
        <v>2</v>
      </c>
      <c r="K4" s="95" t="n">
        <v>3</v>
      </c>
      <c r="L4" s="95" t="n">
        <v>4</v>
      </c>
      <c r="M4" s="95" t="n">
        <v>5</v>
      </c>
      <c r="N4" s="95" t="n">
        <v>6</v>
      </c>
      <c r="O4" s="95" t="n">
        <v>7</v>
      </c>
      <c r="P4" s="95" t="n">
        <v>8</v>
      </c>
      <c r="Q4" s="95" t="n">
        <v>9</v>
      </c>
      <c r="R4" s="95" t="n">
        <v>10</v>
      </c>
      <c r="S4" s="95" t="n">
        <v>11</v>
      </c>
      <c r="T4" s="95" t="n">
        <v>12</v>
      </c>
      <c r="U4" s="95" t="n">
        <v>13</v>
      </c>
      <c r="V4" s="95" t="n">
        <v>14</v>
      </c>
      <c r="W4" s="95" t="n">
        <v>15</v>
      </c>
      <c r="X4" s="95" t="n">
        <v>16</v>
      </c>
      <c r="Y4" s="95" t="n">
        <v>17</v>
      </c>
      <c r="Z4" s="95" t="n">
        <v>18</v>
      </c>
      <c r="AA4" s="95" t="n">
        <v>19</v>
      </c>
      <c r="AB4" s="95" t="n">
        <v>20</v>
      </c>
      <c r="AC4" s="95" t="n">
        <v>21</v>
      </c>
      <c r="AD4" s="95" t="n">
        <v>22</v>
      </c>
      <c r="AE4" s="95" t="n">
        <v>23</v>
      </c>
      <c r="AF4" s="95" t="n">
        <v>24</v>
      </c>
      <c r="AG4" s="95" t="n">
        <v>25</v>
      </c>
      <c r="AH4" s="95" t="n">
        <v>26</v>
      </c>
      <c r="AI4" s="95" t="n">
        <v>27</v>
      </c>
      <c r="AJ4" s="95" t="n">
        <v>28</v>
      </c>
      <c r="AK4" s="95" t="n">
        <v>29</v>
      </c>
      <c r="AL4" s="95" t="n">
        <v>30</v>
      </c>
      <c r="AM4" s="95" t="n">
        <v>31</v>
      </c>
      <c r="AN4" s="95" t="n">
        <v>32</v>
      </c>
      <c r="AO4" s="95" t="n">
        <v>33</v>
      </c>
      <c r="AP4" s="95" t="n">
        <v>34</v>
      </c>
      <c r="AQ4" s="95" t="n">
        <v>35</v>
      </c>
      <c r="AR4" s="95" t="n">
        <v>36</v>
      </c>
      <c r="AS4" s="95" t="n">
        <v>37</v>
      </c>
      <c r="AT4" s="95" t="n">
        <v>38</v>
      </c>
      <c r="AU4" s="95" t="n">
        <v>39</v>
      </c>
      <c r="AV4" s="95" t="n">
        <v>40</v>
      </c>
      <c r="AW4" s="95" t="n">
        <v>41</v>
      </c>
      <c r="AX4" s="95" t="n">
        <v>42</v>
      </c>
      <c r="AY4" s="95" t="n">
        <v>43</v>
      </c>
      <c r="AZ4" s="95" t="n">
        <v>44</v>
      </c>
      <c r="BA4" s="95" t="n">
        <v>45</v>
      </c>
      <c r="BB4" s="95" t="n">
        <v>46</v>
      </c>
      <c r="BC4" s="95" t="n">
        <v>47</v>
      </c>
      <c r="BD4" s="95" t="n">
        <v>48</v>
      </c>
    </row>
    <row r="5" spans="1:56" ht="31.20" customHeight="1">
      <c r="A5" s="96" t="s">
        <v>10</v>
      </c>
      <c r="B5" s="97" t="s">
        <v>11</v>
      </c>
      <c r="C5" s="98" t="s">
        <v>12</v>
      </c>
      <c r="D5" s="99" t="s">
        <v>97</v>
      </c>
      <c r="E5" s="100"/>
      <c r="F5" s="101"/>
      <c r="G5" s="102" t="s">
        <v>98</v>
      </c>
      <c r="H5" s="103"/>
      <c r="I5" s="104" t="s">
        <v>15</v>
      </c>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c r="BB5" s="104"/>
      <c r="BC5" s="104"/>
      <c r="BD5" s="105"/>
    </row>
    <row r="6" spans="1:56" ht="121.50" customHeight="1">
      <c r="A6" s="106"/>
      <c r="B6" s="107"/>
      <c r="C6" s="108"/>
      <c r="D6" s="34" t="s">
        <v>16</v>
      </c>
      <c r="E6" s="34" t="s">
        <v>99</v>
      </c>
      <c r="F6" s="151" t="s">
        <v>18</v>
      </c>
      <c r="G6" s="61" t="s">
        <v>16</v>
      </c>
      <c r="H6" s="151" t="s">
        <v>20</v>
      </c>
      <c r="I6" s="72" t="s">
        <v>21</v>
      </c>
      <c r="J6" s="72"/>
      <c r="K6" s="72"/>
      <c r="L6" s="72"/>
      <c r="M6" s="72"/>
      <c r="N6" s="73"/>
      <c r="O6" s="74" t="s">
        <v>22</v>
      </c>
      <c r="P6" s="72"/>
      <c r="Q6" s="72"/>
      <c r="R6" s="72"/>
      <c r="S6" s="72"/>
      <c r="T6" s="73"/>
      <c r="U6" s="74" t="s">
        <v>23</v>
      </c>
      <c r="V6" s="72"/>
      <c r="W6" s="72"/>
      <c r="X6" s="72"/>
      <c r="Y6" s="72"/>
      <c r="Z6" s="73"/>
      <c r="AA6" s="74" t="s">
        <v>24</v>
      </c>
      <c r="AB6" s="72"/>
      <c r="AC6" s="72"/>
      <c r="AD6" s="72"/>
      <c r="AE6" s="72"/>
      <c r="AF6" s="73"/>
      <c r="AG6" s="74" t="s">
        <v>25</v>
      </c>
      <c r="AH6" s="72"/>
      <c r="AI6" s="72"/>
      <c r="AJ6" s="72"/>
      <c r="AK6" s="72"/>
      <c r="AL6" s="73"/>
      <c r="AM6" s="74" t="s">
        <v>26</v>
      </c>
      <c r="AN6" s="72"/>
      <c r="AO6" s="72"/>
      <c r="AP6" s="72"/>
      <c r="AQ6" s="72"/>
      <c r="AR6" s="73"/>
      <c r="AS6" s="74" t="s">
        <v>27</v>
      </c>
      <c r="AT6" s="72"/>
      <c r="AU6" s="72"/>
      <c r="AV6" s="72"/>
      <c r="AW6" s="72"/>
      <c r="AX6" s="73"/>
      <c r="AY6" s="72" t="s">
        <v>28</v>
      </c>
      <c r="AZ6" s="72"/>
      <c r="BA6" s="72"/>
      <c r="BB6" s="72"/>
      <c r="BC6" s="72"/>
      <c r="BD6" s="75"/>
    </row>
    <row r="7" spans="1:56">
      <c r="A7" s="109" t="s">
        <v>100</v>
      </c>
      <c r="B7" s="152"/>
      <c r="C7" s="153"/>
      <c r="D7" s="112">
        <f>SUM(D8:D13)</f>
        <v>0</v>
      </c>
      <c r="E7" s="112">
        <f>SUM(E8:E13)</f>
        <v>4</v>
      </c>
      <c r="F7" s="113">
        <f>SUM(D7:E7)</f>
        <v>4</v>
      </c>
      <c r="G7" s="112">
        <f>SUM(G8:G13)</f>
        <v>0</v>
      </c>
      <c r="H7" s="114">
        <f>SUM(G7)</f>
        <v>0</v>
      </c>
      <c r="I7" s="115"/>
      <c r="J7" s="115"/>
      <c r="K7" s="115"/>
      <c r="L7" s="115"/>
      <c r="M7" s="115"/>
      <c r="N7" s="116"/>
      <c r="O7" s="117"/>
      <c r="P7" s="115"/>
      <c r="Q7" s="115"/>
      <c r="R7" s="115"/>
      <c r="S7" s="115"/>
      <c r="T7" s="116"/>
      <c r="U7" s="117"/>
      <c r="V7" s="115"/>
      <c r="W7" s="115"/>
      <c r="X7" s="115"/>
      <c r="Y7" s="115"/>
      <c r="Z7" s="116"/>
      <c r="AA7" s="117"/>
      <c r="AB7" s="115"/>
      <c r="AC7" s="115"/>
      <c r="AD7" s="115"/>
      <c r="AE7" s="115"/>
      <c r="AF7" s="116"/>
      <c r="AG7" s="117"/>
      <c r="AH7" s="115"/>
      <c r="AI7" s="115"/>
      <c r="AJ7" s="115"/>
      <c r="AK7" s="115"/>
      <c r="AL7" s="116"/>
      <c r="AM7" s="117"/>
      <c r="AN7" s="115"/>
      <c r="AO7" s="115"/>
      <c r="AP7" s="115"/>
      <c r="AQ7" s="115"/>
      <c r="AR7" s="116"/>
      <c r="AS7" s="117"/>
      <c r="AT7" s="115"/>
      <c r="AU7" s="115"/>
      <c r="AV7" s="115"/>
      <c r="AW7" s="115"/>
      <c r="AX7" s="116"/>
      <c r="AY7" s="115"/>
      <c r="AZ7" s="115"/>
      <c r="BA7" s="115"/>
      <c r="BB7" s="115"/>
      <c r="BC7" s="115"/>
      <c r="BD7" s="118"/>
    </row>
    <row r="8" spans="1:58">
      <c r="A8" s="119" t="s">
        <v>101</v>
      </c>
      <c r="B8" s="120" t="n">
        <v>1</v>
      </c>
      <c r="C8" s="121" t="n">
        <v>6</v>
      </c>
      <c r="D8" s="122"/>
      <c r="E8" s="122" t="n">
        <v>1</v>
      </c>
      <c r="F8" s="123">
        <f>SUM(D8:E8)</f>
        <v>1</v>
      </c>
      <c r="G8" s="124"/>
      <c r="H8" s="125">
        <f>SUM(G8)</f>
        <v>0</v>
      </c>
      <c r="I8" s="126"/>
      <c r="J8" s="126"/>
      <c r="K8" s="126"/>
      <c r="L8" s="126"/>
      <c r="M8" s="126"/>
      <c r="N8" s="127"/>
      <c r="O8" s="128"/>
      <c r="P8" s="126"/>
      <c r="Q8" s="126"/>
      <c r="R8" s="126"/>
      <c r="S8" s="126"/>
      <c r="T8" s="127"/>
      <c r="U8" s="128"/>
      <c r="V8" s="126"/>
      <c r="W8" s="126"/>
      <c r="X8" s="126"/>
      <c r="Y8" s="126"/>
      <c r="Z8" s="127"/>
      <c r="AA8" s="128"/>
      <c r="AB8" s="126"/>
      <c r="AC8" s="126"/>
      <c r="AD8" s="126"/>
      <c r="AE8" s="126"/>
      <c r="AF8" s="127"/>
      <c r="AG8" s="128"/>
      <c r="AH8" s="126"/>
      <c r="AI8" s="126"/>
      <c r="AJ8" s="126"/>
      <c r="AK8" s="126"/>
      <c r="AL8" s="127"/>
      <c r="AM8" s="128"/>
      <c r="AN8" s="126"/>
      <c r="AO8" s="126"/>
      <c r="AP8" s="126"/>
      <c r="AQ8" s="126"/>
      <c r="AR8" s="127"/>
      <c r="AS8" s="128"/>
      <c r="AT8" s="126"/>
      <c r="AU8" s="126"/>
      <c r="AV8" s="126"/>
      <c r="AW8" s="126"/>
      <c r="AX8" s="127"/>
      <c r="AY8" s="126"/>
      <c r="AZ8" s="126"/>
      <c r="BA8" s="126"/>
      <c r="BB8" s="126"/>
      <c r="BC8" s="126"/>
      <c r="BD8" s="129"/>
      <c r="BF8" s="156">
        <f>C13-B8+1</f>
        <v>9</v>
      </c>
    </row>
    <row r="9" spans="1:56">
      <c r="A9" s="130" t="s">
        <v>102</v>
      </c>
      <c r="B9" s="120" t="n">
        <v>6</v>
      </c>
      <c r="C9" s="121" t="n">
        <v>6</v>
      </c>
      <c r="D9" s="131"/>
      <c r="E9" s="131"/>
      <c r="F9" s="132"/>
      <c r="G9" s="133"/>
      <c r="H9" s="132"/>
      <c r="I9" s="126"/>
      <c r="J9" s="126"/>
      <c r="K9" s="126"/>
      <c r="L9" s="126"/>
      <c r="M9" s="126"/>
      <c r="N9" s="127"/>
      <c r="O9" s="128"/>
      <c r="P9" s="126"/>
      <c r="Q9" s="126"/>
      <c r="R9" s="126"/>
      <c r="S9" s="126"/>
      <c r="T9" s="127"/>
      <c r="U9" s="128"/>
      <c r="V9" s="126"/>
      <c r="W9" s="126"/>
      <c r="X9" s="126"/>
      <c r="Y9" s="126"/>
      <c r="Z9" s="127"/>
      <c r="AA9" s="128"/>
      <c r="AB9" s="126"/>
      <c r="AC9" s="126"/>
      <c r="AD9" s="126"/>
      <c r="AE9" s="126"/>
      <c r="AF9" s="127"/>
      <c r="AG9" s="128"/>
      <c r="AH9" s="126"/>
      <c r="AI9" s="126"/>
      <c r="AJ9" s="126"/>
      <c r="AK9" s="126"/>
      <c r="AL9" s="127"/>
      <c r="AM9" s="128"/>
      <c r="AN9" s="126"/>
      <c r="AO9" s="126"/>
      <c r="AP9" s="126"/>
      <c r="AQ9" s="126"/>
      <c r="AR9" s="127"/>
      <c r="AS9" s="128"/>
      <c r="AT9" s="126"/>
      <c r="AU9" s="126"/>
      <c r="AV9" s="126"/>
      <c r="AW9" s="126"/>
      <c r="AX9" s="127"/>
      <c r="AY9" s="126"/>
      <c r="AZ9" s="126"/>
      <c r="BA9" s="126"/>
      <c r="BB9" s="126"/>
      <c r="BC9" s="126"/>
      <c r="BD9" s="129"/>
    </row>
    <row r="10" spans="1:56">
      <c r="A10" s="119" t="s">
        <v>103</v>
      </c>
      <c r="B10" s="120" t="n">
        <v>1</v>
      </c>
      <c r="C10" s="121" t="n">
        <v>6</v>
      </c>
      <c r="D10" s="122"/>
      <c r="E10" s="122" t="n">
        <v>1</v>
      </c>
      <c r="F10" s="123">
        <f>SUM(D10:E10)</f>
        <v>1</v>
      </c>
      <c r="G10" s="124"/>
      <c r="H10" s="125">
        <f>SUM(G10)</f>
        <v>0</v>
      </c>
      <c r="I10" s="126"/>
      <c r="J10" s="126"/>
      <c r="K10" s="126"/>
      <c r="L10" s="126"/>
      <c r="M10" s="126"/>
      <c r="N10" s="127"/>
      <c r="O10" s="128"/>
      <c r="P10" s="126"/>
      <c r="Q10" s="126"/>
      <c r="R10" s="126"/>
      <c r="S10" s="126"/>
      <c r="T10" s="127"/>
      <c r="U10" s="128"/>
      <c r="V10" s="126"/>
      <c r="W10" s="126"/>
      <c r="X10" s="126"/>
      <c r="Y10" s="126"/>
      <c r="Z10" s="127"/>
      <c r="AA10" s="128"/>
      <c r="AB10" s="126"/>
      <c r="AC10" s="126"/>
      <c r="AD10" s="126"/>
      <c r="AE10" s="126"/>
      <c r="AF10" s="127"/>
      <c r="AG10" s="128"/>
      <c r="AH10" s="126"/>
      <c r="AI10" s="126"/>
      <c r="AJ10" s="126"/>
      <c r="AK10" s="126"/>
      <c r="AL10" s="127"/>
      <c r="AM10" s="128"/>
      <c r="AN10" s="126"/>
      <c r="AO10" s="126"/>
      <c r="AP10" s="126"/>
      <c r="AQ10" s="126"/>
      <c r="AR10" s="127"/>
      <c r="AS10" s="128"/>
      <c r="AT10" s="126"/>
      <c r="AU10" s="126"/>
      <c r="AV10" s="126"/>
      <c r="AW10" s="126"/>
      <c r="AX10" s="127"/>
      <c r="AY10" s="126"/>
      <c r="AZ10" s="126"/>
      <c r="BA10" s="126"/>
      <c r="BB10" s="126"/>
      <c r="BC10" s="126"/>
      <c r="BD10" s="129"/>
    </row>
    <row r="11" spans="1:56">
      <c r="A11" s="130" t="s">
        <v>104</v>
      </c>
      <c r="B11" s="120" t="n">
        <v>6</v>
      </c>
      <c r="C11" s="121" t="n">
        <v>6</v>
      </c>
      <c r="D11" s="131"/>
      <c r="E11" s="131"/>
      <c r="F11" s="132"/>
      <c r="G11" s="133"/>
      <c r="H11" s="132"/>
      <c r="I11" s="126"/>
      <c r="J11" s="126"/>
      <c r="K11" s="126"/>
      <c r="L11" s="126"/>
      <c r="M11" s="126"/>
      <c r="N11" s="127"/>
      <c r="O11" s="128"/>
      <c r="P11" s="126"/>
      <c r="Q11" s="126"/>
      <c r="R11" s="126"/>
      <c r="S11" s="126"/>
      <c r="T11" s="127"/>
      <c r="U11" s="128"/>
      <c r="V11" s="126"/>
      <c r="W11" s="126"/>
      <c r="X11" s="126"/>
      <c r="Y11" s="126"/>
      <c r="Z11" s="127"/>
      <c r="AA11" s="128"/>
      <c r="AB11" s="126"/>
      <c r="AC11" s="126"/>
      <c r="AD11" s="126"/>
      <c r="AE11" s="126"/>
      <c r="AF11" s="127"/>
      <c r="AG11" s="128"/>
      <c r="AH11" s="126"/>
      <c r="AI11" s="126"/>
      <c r="AJ11" s="126"/>
      <c r="AK11" s="126"/>
      <c r="AL11" s="127"/>
      <c r="AM11" s="128"/>
      <c r="AN11" s="126"/>
      <c r="AO11" s="126"/>
      <c r="AP11" s="126"/>
      <c r="AQ11" s="126"/>
      <c r="AR11" s="127"/>
      <c r="AS11" s="128"/>
      <c r="AT11" s="126"/>
      <c r="AU11" s="126"/>
      <c r="AV11" s="126"/>
      <c r="AW11" s="126"/>
      <c r="AX11" s="127"/>
      <c r="AY11" s="126"/>
      <c r="AZ11" s="126"/>
      <c r="BA11" s="126"/>
      <c r="BB11" s="126"/>
      <c r="BC11" s="126"/>
      <c r="BD11" s="129"/>
    </row>
    <row r="12" spans="1:56">
      <c r="A12" s="119" t="s">
        <v>105</v>
      </c>
      <c r="B12" s="120" t="n">
        <v>3</v>
      </c>
      <c r="C12" s="121" t="n">
        <v>9</v>
      </c>
      <c r="D12" s="122"/>
      <c r="E12" s="122" t="n">
        <v>2</v>
      </c>
      <c r="F12" s="123">
        <f>SUM(D12:E12)</f>
        <v>2</v>
      </c>
      <c r="G12" s="124"/>
      <c r="H12" s="125">
        <f>SUM(G12)</f>
        <v>0</v>
      </c>
      <c r="I12" s="126"/>
      <c r="J12" s="126"/>
      <c r="K12" s="126"/>
      <c r="L12" s="126"/>
      <c r="M12" s="126"/>
      <c r="N12" s="127"/>
      <c r="O12" s="128"/>
      <c r="P12" s="126"/>
      <c r="Q12" s="126"/>
      <c r="R12" s="126"/>
      <c r="S12" s="126"/>
      <c r="T12" s="127"/>
      <c r="U12" s="128"/>
      <c r="V12" s="126"/>
      <c r="W12" s="126"/>
      <c r="X12" s="126"/>
      <c r="Y12" s="126"/>
      <c r="Z12" s="127"/>
      <c r="AA12" s="128"/>
      <c r="AB12" s="126"/>
      <c r="AC12" s="126"/>
      <c r="AD12" s="126"/>
      <c r="AE12" s="126"/>
      <c r="AF12" s="127"/>
      <c r="AG12" s="128"/>
      <c r="AH12" s="126"/>
      <c r="AI12" s="126"/>
      <c r="AJ12" s="126"/>
      <c r="AK12" s="126"/>
      <c r="AL12" s="127"/>
      <c r="AM12" s="128"/>
      <c r="AN12" s="126"/>
      <c r="AO12" s="126"/>
      <c r="AP12" s="126"/>
      <c r="AQ12" s="126"/>
      <c r="AR12" s="127"/>
      <c r="AS12" s="128"/>
      <c r="AT12" s="126"/>
      <c r="AU12" s="126"/>
      <c r="AV12" s="126"/>
      <c r="AW12" s="126"/>
      <c r="AX12" s="127"/>
      <c r="AY12" s="126"/>
      <c r="AZ12" s="126"/>
      <c r="BA12" s="126"/>
      <c r="BB12" s="126"/>
      <c r="BC12" s="126"/>
      <c r="BD12" s="129"/>
    </row>
    <row r="13" spans="1:56">
      <c r="A13" s="130" t="s">
        <v>106</v>
      </c>
      <c r="B13" s="120" t="n">
        <v>9</v>
      </c>
      <c r="C13" s="121" t="n">
        <v>9</v>
      </c>
      <c r="D13" s="131"/>
      <c r="E13" s="131"/>
      <c r="F13" s="132"/>
      <c r="G13" s="133"/>
      <c r="H13" s="132"/>
      <c r="I13" s="126"/>
      <c r="J13" s="126"/>
      <c r="K13" s="126"/>
      <c r="L13" s="126"/>
      <c r="M13" s="126"/>
      <c r="N13" s="127"/>
      <c r="O13" s="128"/>
      <c r="P13" s="126"/>
      <c r="Q13" s="126"/>
      <c r="R13" s="126"/>
      <c r="S13" s="126"/>
      <c r="T13" s="127"/>
      <c r="U13" s="128"/>
      <c r="V13" s="126"/>
      <c r="W13" s="126"/>
      <c r="X13" s="126"/>
      <c r="Y13" s="126"/>
      <c r="Z13" s="127"/>
      <c r="AA13" s="128"/>
      <c r="AB13" s="126"/>
      <c r="AC13" s="126"/>
      <c r="AD13" s="126"/>
      <c r="AE13" s="126"/>
      <c r="AF13" s="127"/>
      <c r="AG13" s="128"/>
      <c r="AH13" s="126"/>
      <c r="AI13" s="126"/>
      <c r="AJ13" s="126"/>
      <c r="AK13" s="126"/>
      <c r="AL13" s="127"/>
      <c r="AM13" s="128"/>
      <c r="AN13" s="126"/>
      <c r="AO13" s="126"/>
      <c r="AP13" s="126"/>
      <c r="AQ13" s="126"/>
      <c r="AR13" s="127"/>
      <c r="AS13" s="128"/>
      <c r="AT13" s="126"/>
      <c r="AU13" s="126"/>
      <c r="AV13" s="126"/>
      <c r="AW13" s="126"/>
      <c r="AX13" s="127"/>
      <c r="AY13" s="126"/>
      <c r="AZ13" s="126"/>
      <c r="BA13" s="126"/>
      <c r="BB13" s="126"/>
      <c r="BC13" s="126"/>
      <c r="BD13" s="129"/>
    </row>
    <row r="14" spans="1:56">
      <c r="A14" s="109" t="s">
        <v>107</v>
      </c>
      <c r="B14" s="154"/>
      <c r="C14" s="155"/>
      <c r="D14" s="112">
        <f>SUM(D15:D20)</f>
        <v>0</v>
      </c>
      <c r="E14" s="112">
        <f>SUM(E15:E20)</f>
        <v>6</v>
      </c>
      <c r="F14" s="134">
        <f>SUM(D14:E14)</f>
        <v>6</v>
      </c>
      <c r="G14" s="112">
        <f>SUM(G15:G20)</f>
        <v>0</v>
      </c>
      <c r="H14" s="134">
        <f>SUM(G14)</f>
        <v>0</v>
      </c>
      <c r="I14" s="115"/>
      <c r="J14" s="115"/>
      <c r="K14" s="115"/>
      <c r="L14" s="115"/>
      <c r="M14" s="115"/>
      <c r="N14" s="116"/>
      <c r="O14" s="117"/>
      <c r="P14" s="115"/>
      <c r="Q14" s="115"/>
      <c r="R14" s="115"/>
      <c r="S14" s="115"/>
      <c r="T14" s="116"/>
      <c r="U14" s="117"/>
      <c r="V14" s="115"/>
      <c r="W14" s="115"/>
      <c r="X14" s="115"/>
      <c r="Y14" s="115"/>
      <c r="Z14" s="116"/>
      <c r="AA14" s="117"/>
      <c r="AB14" s="115"/>
      <c r="AC14" s="115"/>
      <c r="AD14" s="115"/>
      <c r="AE14" s="115"/>
      <c r="AF14" s="116"/>
      <c r="AG14" s="117"/>
      <c r="AH14" s="115"/>
      <c r="AI14" s="115"/>
      <c r="AJ14" s="115"/>
      <c r="AK14" s="115"/>
      <c r="AL14" s="116"/>
      <c r="AM14" s="117"/>
      <c r="AN14" s="115"/>
      <c r="AO14" s="115"/>
      <c r="AP14" s="115"/>
      <c r="AQ14" s="115"/>
      <c r="AR14" s="116"/>
      <c r="AS14" s="117"/>
      <c r="AT14" s="115"/>
      <c r="AU14" s="115"/>
      <c r="AV14" s="115"/>
      <c r="AW14" s="115"/>
      <c r="AX14" s="116"/>
      <c r="AY14" s="115"/>
      <c r="AZ14" s="115"/>
      <c r="BA14" s="115"/>
      <c r="BB14" s="115"/>
      <c r="BC14" s="115"/>
      <c r="BD14" s="118"/>
    </row>
    <row r="15" spans="1:58">
      <c r="A15" s="119" t="s">
        <v>108</v>
      </c>
      <c r="B15" s="120" t="n">
        <v>3</v>
      </c>
      <c r="C15" s="121" t="n">
        <v>6</v>
      </c>
      <c r="D15" s="122"/>
      <c r="E15" s="135" t="n">
        <v>1</v>
      </c>
      <c r="F15" s="125">
        <f>SUM(D15:E15)</f>
        <v>1</v>
      </c>
      <c r="G15" s="122"/>
      <c r="H15" s="125">
        <f>SUM(G15)</f>
        <v>0</v>
      </c>
      <c r="I15" s="126"/>
      <c r="J15" s="126"/>
      <c r="K15" s="126"/>
      <c r="L15" s="126"/>
      <c r="M15" s="126"/>
      <c r="N15" s="127"/>
      <c r="O15" s="128"/>
      <c r="P15" s="126"/>
      <c r="Q15" s="126"/>
      <c r="R15" s="126"/>
      <c r="S15" s="126"/>
      <c r="T15" s="127"/>
      <c r="U15" s="128"/>
      <c r="V15" s="126"/>
      <c r="W15" s="126"/>
      <c r="X15" s="126"/>
      <c r="Y15" s="126"/>
      <c r="Z15" s="127"/>
      <c r="AA15" s="128"/>
      <c r="AB15" s="126"/>
      <c r="AC15" s="126"/>
      <c r="AD15" s="126"/>
      <c r="AE15" s="126"/>
      <c r="AF15" s="127"/>
      <c r="AG15" s="128"/>
      <c r="AH15" s="126"/>
      <c r="AI15" s="126"/>
      <c r="AJ15" s="126"/>
      <c r="AK15" s="126"/>
      <c r="AL15" s="127"/>
      <c r="AM15" s="128"/>
      <c r="AN15" s="126"/>
      <c r="AO15" s="126"/>
      <c r="AP15" s="126"/>
      <c r="AQ15" s="126"/>
      <c r="AR15" s="127"/>
      <c r="AS15" s="128"/>
      <c r="AT15" s="126"/>
      <c r="AU15" s="126"/>
      <c r="AV15" s="126"/>
      <c r="AW15" s="126"/>
      <c r="AX15" s="127"/>
      <c r="AY15" s="126"/>
      <c r="AZ15" s="126"/>
      <c r="BA15" s="126"/>
      <c r="BB15" s="126"/>
      <c r="BC15" s="126"/>
      <c r="BD15" s="129"/>
      <c r="BF15" s="156">
        <f>C20-B15+1</f>
        <v>13</v>
      </c>
    </row>
    <row r="16" spans="1:56">
      <c r="A16" s="130" t="s">
        <v>109</v>
      </c>
      <c r="B16" s="120" t="n">
        <v>6</v>
      </c>
      <c r="C16" s="121" t="n">
        <v>6</v>
      </c>
      <c r="D16" s="131"/>
      <c r="E16" s="131"/>
      <c r="F16" s="132"/>
      <c r="G16" s="131"/>
      <c r="H16" s="132"/>
      <c r="I16" s="126"/>
      <c r="J16" s="126"/>
      <c r="K16" s="126"/>
      <c r="L16" s="126"/>
      <c r="M16" s="126"/>
      <c r="N16" s="127"/>
      <c r="O16" s="128"/>
      <c r="P16" s="126"/>
      <c r="Q16" s="126"/>
      <c r="R16" s="126"/>
      <c r="S16" s="126"/>
      <c r="T16" s="127"/>
      <c r="U16" s="128"/>
      <c r="V16" s="126"/>
      <c r="W16" s="126"/>
      <c r="X16" s="126"/>
      <c r="Y16" s="126"/>
      <c r="Z16" s="127"/>
      <c r="AA16" s="128"/>
      <c r="AB16" s="126"/>
      <c r="AC16" s="126"/>
      <c r="AD16" s="126"/>
      <c r="AE16" s="126"/>
      <c r="AF16" s="127"/>
      <c r="AG16" s="128"/>
      <c r="AH16" s="126"/>
      <c r="AI16" s="126"/>
      <c r="AJ16" s="126"/>
      <c r="AK16" s="126"/>
      <c r="AL16" s="127"/>
      <c r="AM16" s="128"/>
      <c r="AN16" s="126"/>
      <c r="AO16" s="126"/>
      <c r="AP16" s="126"/>
      <c r="AQ16" s="126"/>
      <c r="AR16" s="127"/>
      <c r="AS16" s="128"/>
      <c r="AT16" s="126"/>
      <c r="AU16" s="126"/>
      <c r="AV16" s="126"/>
      <c r="AW16" s="126"/>
      <c r="AX16" s="127"/>
      <c r="AY16" s="126"/>
      <c r="AZ16" s="126"/>
      <c r="BA16" s="126"/>
      <c r="BB16" s="126"/>
      <c r="BC16" s="126"/>
      <c r="BD16" s="129"/>
    </row>
    <row r="17" spans="1:56">
      <c r="A17" s="119" t="s">
        <v>110</v>
      </c>
      <c r="B17" s="120" t="n">
        <v>6</v>
      </c>
      <c r="C17" s="121" t="n">
        <v>9</v>
      </c>
      <c r="D17" s="122"/>
      <c r="E17" s="135" t="n">
        <v>1</v>
      </c>
      <c r="F17" s="125">
        <f>SUM(D17:E17)</f>
        <v>1</v>
      </c>
      <c r="G17" s="122"/>
      <c r="H17" s="125">
        <f>SUM(G17)</f>
        <v>0</v>
      </c>
      <c r="I17" s="126"/>
      <c r="J17" s="126"/>
      <c r="K17" s="126"/>
      <c r="L17" s="126"/>
      <c r="M17" s="126"/>
      <c r="N17" s="127"/>
      <c r="O17" s="128"/>
      <c r="P17" s="126"/>
      <c r="Q17" s="126"/>
      <c r="R17" s="126"/>
      <c r="S17" s="126"/>
      <c r="T17" s="127"/>
      <c r="U17" s="128"/>
      <c r="V17" s="126"/>
      <c r="W17" s="126"/>
      <c r="X17" s="126"/>
      <c r="Y17" s="126"/>
      <c r="Z17" s="127"/>
      <c r="AA17" s="128"/>
      <c r="AB17" s="126"/>
      <c r="AC17" s="126"/>
      <c r="AD17" s="126"/>
      <c r="AE17" s="126"/>
      <c r="AF17" s="127"/>
      <c r="AG17" s="128"/>
      <c r="AH17" s="126"/>
      <c r="AI17" s="126"/>
      <c r="AJ17" s="126"/>
      <c r="AK17" s="126"/>
      <c r="AL17" s="127"/>
      <c r="AM17" s="128"/>
      <c r="AN17" s="126"/>
      <c r="AO17" s="126"/>
      <c r="AP17" s="126"/>
      <c r="AQ17" s="126"/>
      <c r="AR17" s="127"/>
      <c r="AS17" s="128"/>
      <c r="AT17" s="126"/>
      <c r="AU17" s="126"/>
      <c r="AV17" s="126"/>
      <c r="AW17" s="126"/>
      <c r="AX17" s="127"/>
      <c r="AY17" s="126"/>
      <c r="AZ17" s="126"/>
      <c r="BA17" s="126"/>
      <c r="BB17" s="126"/>
      <c r="BC17" s="126"/>
      <c r="BD17" s="129"/>
    </row>
    <row r="18" spans="1:56">
      <c r="A18" s="130" t="s">
        <v>111</v>
      </c>
      <c r="B18" s="120" t="n">
        <v>9</v>
      </c>
      <c r="C18" s="121" t="n">
        <v>9</v>
      </c>
      <c r="D18" s="131"/>
      <c r="E18" s="131"/>
      <c r="F18" s="136"/>
      <c r="G18" s="131"/>
      <c r="H18" s="136"/>
      <c r="I18" s="126"/>
      <c r="J18" s="126"/>
      <c r="K18" s="126"/>
      <c r="L18" s="126"/>
      <c r="M18" s="126"/>
      <c r="N18" s="127"/>
      <c r="O18" s="128"/>
      <c r="P18" s="126"/>
      <c r="Q18" s="126"/>
      <c r="R18" s="126"/>
      <c r="S18" s="126"/>
      <c r="T18" s="127"/>
      <c r="U18" s="128"/>
      <c r="V18" s="126"/>
      <c r="W18" s="126"/>
      <c r="X18" s="126"/>
      <c r="Y18" s="126"/>
      <c r="Z18" s="127"/>
      <c r="AA18" s="128"/>
      <c r="AB18" s="126"/>
      <c r="AC18" s="126"/>
      <c r="AD18" s="126"/>
      <c r="AE18" s="126"/>
      <c r="AF18" s="127"/>
      <c r="AG18" s="128"/>
      <c r="AH18" s="126"/>
      <c r="AI18" s="126"/>
      <c r="AJ18" s="126"/>
      <c r="AK18" s="126"/>
      <c r="AL18" s="127"/>
      <c r="AM18" s="128"/>
      <c r="AN18" s="126"/>
      <c r="AO18" s="126"/>
      <c r="AP18" s="126"/>
      <c r="AQ18" s="126"/>
      <c r="AR18" s="127"/>
      <c r="AS18" s="128"/>
      <c r="AT18" s="126"/>
      <c r="AU18" s="126"/>
      <c r="AV18" s="126"/>
      <c r="AW18" s="126"/>
      <c r="AX18" s="127"/>
      <c r="AY18" s="126"/>
      <c r="AZ18" s="126"/>
      <c r="BA18" s="126"/>
      <c r="BB18" s="126"/>
      <c r="BC18" s="126"/>
      <c r="BD18" s="129"/>
    </row>
    <row r="19" spans="1:56">
      <c r="A19" s="119" t="s">
        <v>112</v>
      </c>
      <c r="B19" s="120" t="n">
        <v>9</v>
      </c>
      <c r="C19" s="121" t="n">
        <v>15</v>
      </c>
      <c r="D19" s="122"/>
      <c r="E19" s="135" t="n">
        <v>4</v>
      </c>
      <c r="F19" s="125">
        <f>SUM(D19:E19)</f>
        <v>4</v>
      </c>
      <c r="G19" s="122"/>
      <c r="H19" s="125">
        <f>SUM(G19)</f>
        <v>0</v>
      </c>
      <c r="I19" s="126"/>
      <c r="J19" s="126"/>
      <c r="K19" s="126"/>
      <c r="L19" s="126"/>
      <c r="M19" s="126"/>
      <c r="N19" s="127"/>
      <c r="O19" s="128"/>
      <c r="P19" s="126"/>
      <c r="Q19" s="126"/>
      <c r="R19" s="126"/>
      <c r="S19" s="126"/>
      <c r="T19" s="127"/>
      <c r="U19" s="128"/>
      <c r="V19" s="126"/>
      <c r="W19" s="126"/>
      <c r="X19" s="126"/>
      <c r="Y19" s="126"/>
      <c r="Z19" s="127"/>
      <c r="AA19" s="128"/>
      <c r="AB19" s="126"/>
      <c r="AC19" s="126"/>
      <c r="AD19" s="126"/>
      <c r="AE19" s="126"/>
      <c r="AF19" s="127"/>
      <c r="AG19" s="128"/>
      <c r="AH19" s="126"/>
      <c r="AI19" s="126"/>
      <c r="AJ19" s="126"/>
      <c r="AK19" s="126"/>
      <c r="AL19" s="127"/>
      <c r="AM19" s="128"/>
      <c r="AN19" s="126"/>
      <c r="AO19" s="126"/>
      <c r="AP19" s="126"/>
      <c r="AQ19" s="126"/>
      <c r="AR19" s="127"/>
      <c r="AS19" s="128"/>
      <c r="AT19" s="126"/>
      <c r="AU19" s="126"/>
      <c r="AV19" s="126"/>
      <c r="AW19" s="126"/>
      <c r="AX19" s="127"/>
      <c r="AY19" s="126"/>
      <c r="AZ19" s="126"/>
      <c r="BA19" s="126"/>
      <c r="BB19" s="126"/>
      <c r="BC19" s="126"/>
      <c r="BD19" s="129"/>
    </row>
    <row r="20" spans="1:56">
      <c r="A20" s="130" t="s">
        <v>113</v>
      </c>
      <c r="B20" s="120" t="n">
        <v>15</v>
      </c>
      <c r="C20" s="121" t="n">
        <v>15</v>
      </c>
      <c r="D20" s="131"/>
      <c r="E20" s="131"/>
      <c r="F20" s="132"/>
      <c r="G20" s="131"/>
      <c r="H20" s="132"/>
      <c r="I20" s="126"/>
      <c r="J20" s="126"/>
      <c r="K20" s="126"/>
      <c r="L20" s="126"/>
      <c r="M20" s="126"/>
      <c r="N20" s="127"/>
      <c r="O20" s="128"/>
      <c r="P20" s="126"/>
      <c r="Q20" s="126"/>
      <c r="R20" s="126"/>
      <c r="S20" s="126"/>
      <c r="T20" s="127"/>
      <c r="U20" s="128"/>
      <c r="V20" s="126"/>
      <c r="W20" s="126"/>
      <c r="X20" s="126"/>
      <c r="Y20" s="126"/>
      <c r="Z20" s="127"/>
      <c r="AA20" s="128"/>
      <c r="AB20" s="126"/>
      <c r="AC20" s="126"/>
      <c r="AD20" s="126"/>
      <c r="AE20" s="126"/>
      <c r="AF20" s="127"/>
      <c r="AG20" s="128"/>
      <c r="AH20" s="126"/>
      <c r="AI20" s="126"/>
      <c r="AJ20" s="126"/>
      <c r="AK20" s="126"/>
      <c r="AL20" s="127"/>
      <c r="AM20" s="128"/>
      <c r="AN20" s="126"/>
      <c r="AO20" s="126"/>
      <c r="AP20" s="126"/>
      <c r="AQ20" s="126"/>
      <c r="AR20" s="127"/>
      <c r="AS20" s="128"/>
      <c r="AT20" s="126"/>
      <c r="AU20" s="126"/>
      <c r="AV20" s="126"/>
      <c r="AW20" s="126"/>
      <c r="AX20" s="127"/>
      <c r="AY20" s="126"/>
      <c r="AZ20" s="126"/>
      <c r="BA20" s="126"/>
      <c r="BB20" s="126"/>
      <c r="BC20" s="126"/>
      <c r="BD20" s="129"/>
    </row>
    <row r="21" spans="1:56">
      <c r="A21" s="137" t="s">
        <v>114</v>
      </c>
      <c r="B21" s="138"/>
      <c r="C21" s="111"/>
      <c r="D21" s="112">
        <f>SUM(D22:D25)</f>
        <v>0</v>
      </c>
      <c r="E21" s="112">
        <f>SUM(E22:E25)</f>
        <v>16</v>
      </c>
      <c r="F21" s="134">
        <f>SUM(D21:E21)</f>
        <v>16</v>
      </c>
      <c r="G21" s="112">
        <f>SUM(G22:G25)</f>
        <v>0</v>
      </c>
      <c r="H21" s="134">
        <f>SUM(G21)</f>
        <v>0</v>
      </c>
      <c r="I21" s="115"/>
      <c r="J21" s="115"/>
      <c r="K21" s="115"/>
      <c r="L21" s="115"/>
      <c r="M21" s="115"/>
      <c r="N21" s="116"/>
      <c r="O21" s="117"/>
      <c r="P21" s="115"/>
      <c r="Q21" s="115"/>
      <c r="R21" s="115"/>
      <c r="S21" s="115"/>
      <c r="T21" s="116"/>
      <c r="U21" s="117"/>
      <c r="V21" s="115"/>
      <c r="W21" s="115"/>
      <c r="X21" s="115"/>
      <c r="Y21" s="115"/>
      <c r="Z21" s="116"/>
      <c r="AA21" s="117"/>
      <c r="AB21" s="115"/>
      <c r="AC21" s="115"/>
      <c r="AD21" s="115"/>
      <c r="AE21" s="115"/>
      <c r="AF21" s="116"/>
      <c r="AG21" s="117"/>
      <c r="AH21" s="115"/>
      <c r="AI21" s="115"/>
      <c r="AJ21" s="115"/>
      <c r="AK21" s="115"/>
      <c r="AL21" s="116"/>
      <c r="AM21" s="117"/>
      <c r="AN21" s="115"/>
      <c r="AO21" s="115"/>
      <c r="AP21" s="115"/>
      <c r="AQ21" s="115"/>
      <c r="AR21" s="116"/>
      <c r="AS21" s="117"/>
      <c r="AT21" s="115"/>
      <c r="AU21" s="115"/>
      <c r="AV21" s="115"/>
      <c r="AW21" s="115"/>
      <c r="AX21" s="116"/>
      <c r="AY21" s="115"/>
      <c r="AZ21" s="115"/>
      <c r="BA21" s="115"/>
      <c r="BB21" s="115"/>
      <c r="BC21" s="115"/>
      <c r="BD21" s="118"/>
    </row>
    <row r="22" spans="1:58">
      <c r="A22" s="139" t="s">
        <v>115</v>
      </c>
      <c r="B22" s="140" t="n">
        <v>10</v>
      </c>
      <c r="C22" s="121" t="n">
        <v>24</v>
      </c>
      <c r="D22" s="122"/>
      <c r="E22" s="135" t="n">
        <v>8</v>
      </c>
      <c r="F22" s="125">
        <f>SUM(D22:E22)</f>
        <v>8</v>
      </c>
      <c r="G22" s="124"/>
      <c r="H22" s="125">
        <f>SUM(G22)</f>
        <v>0</v>
      </c>
      <c r="I22" s="126"/>
      <c r="J22" s="126"/>
      <c r="K22" s="126"/>
      <c r="L22" s="126"/>
      <c r="M22" s="126"/>
      <c r="N22" s="127"/>
      <c r="O22" s="128"/>
      <c r="P22" s="126"/>
      <c r="Q22" s="126"/>
      <c r="R22" s="126"/>
      <c r="S22" s="126"/>
      <c r="T22" s="127"/>
      <c r="U22" s="128"/>
      <c r="V22" s="126"/>
      <c r="W22" s="126"/>
      <c r="X22" s="126"/>
      <c r="Y22" s="126"/>
      <c r="Z22" s="127"/>
      <c r="AA22" s="128"/>
      <c r="AB22" s="126"/>
      <c r="AC22" s="126"/>
      <c r="AD22" s="126"/>
      <c r="AE22" s="126"/>
      <c r="AF22" s="127"/>
      <c r="AG22" s="128"/>
      <c r="AH22" s="126"/>
      <c r="AI22" s="126"/>
      <c r="AJ22" s="126"/>
      <c r="AK22" s="126"/>
      <c r="AL22" s="127"/>
      <c r="AM22" s="128"/>
      <c r="AN22" s="126"/>
      <c r="AO22" s="126"/>
      <c r="AP22" s="126"/>
      <c r="AQ22" s="126"/>
      <c r="AR22" s="127"/>
      <c r="AS22" s="128"/>
      <c r="AT22" s="126"/>
      <c r="AU22" s="126"/>
      <c r="AV22" s="126"/>
      <c r="AW22" s="126"/>
      <c r="AX22" s="127"/>
      <c r="AY22" s="126"/>
      <c r="AZ22" s="126"/>
      <c r="BA22" s="126"/>
      <c r="BB22" s="126"/>
      <c r="BC22" s="126"/>
      <c r="BD22" s="129"/>
      <c r="BF22" s="156">
        <f>C25-B22+1</f>
        <v>25</v>
      </c>
    </row>
    <row r="23" spans="1:56">
      <c r="A23" s="141" t="s">
        <v>116</v>
      </c>
      <c r="B23" s="140" t="n">
        <v>24</v>
      </c>
      <c r="C23" s="121" t="n">
        <v>24</v>
      </c>
      <c r="D23" s="131"/>
      <c r="E23" s="131"/>
      <c r="F23" s="132"/>
      <c r="G23" s="133"/>
      <c r="H23" s="132"/>
      <c r="I23" s="126"/>
      <c r="J23" s="126"/>
      <c r="K23" s="126"/>
      <c r="L23" s="126"/>
      <c r="M23" s="126"/>
      <c r="N23" s="127"/>
      <c r="O23" s="128"/>
      <c r="P23" s="126"/>
      <c r="Q23" s="126"/>
      <c r="R23" s="126"/>
      <c r="S23" s="126"/>
      <c r="T23" s="127"/>
      <c r="U23" s="128"/>
      <c r="V23" s="126"/>
      <c r="W23" s="126"/>
      <c r="X23" s="126"/>
      <c r="Y23" s="126"/>
      <c r="Z23" s="127"/>
      <c r="AA23" s="128"/>
      <c r="AB23" s="126"/>
      <c r="AC23" s="126"/>
      <c r="AD23" s="126"/>
      <c r="AE23" s="126"/>
      <c r="AF23" s="127"/>
      <c r="AG23" s="128"/>
      <c r="AH23" s="126"/>
      <c r="AI23" s="126"/>
      <c r="AJ23" s="126"/>
      <c r="AK23" s="126"/>
      <c r="AL23" s="127"/>
      <c r="AM23" s="128"/>
      <c r="AN23" s="126"/>
      <c r="AO23" s="126"/>
      <c r="AP23" s="126"/>
      <c r="AQ23" s="126"/>
      <c r="AR23" s="127"/>
      <c r="AS23" s="128"/>
      <c r="AT23" s="126"/>
      <c r="AU23" s="126"/>
      <c r="AV23" s="126"/>
      <c r="AW23" s="126"/>
      <c r="AX23" s="127"/>
      <c r="AY23" s="126"/>
      <c r="AZ23" s="126"/>
      <c r="BA23" s="126"/>
      <c r="BB23" s="126"/>
      <c r="BC23" s="126"/>
      <c r="BD23" s="129"/>
    </row>
    <row r="24" spans="1:56">
      <c r="A24" s="139" t="s">
        <v>117</v>
      </c>
      <c r="B24" s="140" t="n">
        <v>24</v>
      </c>
      <c r="C24" s="121" t="n">
        <v>34</v>
      </c>
      <c r="D24" s="122"/>
      <c r="E24" s="135" t="n">
        <v>8</v>
      </c>
      <c r="F24" s="125">
        <f>SUM(D24:E24)</f>
        <v>8</v>
      </c>
      <c r="G24" s="124"/>
      <c r="H24" s="125">
        <f>SUM(G24)</f>
        <v>0</v>
      </c>
      <c r="I24" s="126"/>
      <c r="J24" s="126"/>
      <c r="K24" s="126"/>
      <c r="L24" s="126"/>
      <c r="M24" s="126"/>
      <c r="N24" s="127"/>
      <c r="O24" s="128"/>
      <c r="P24" s="126"/>
      <c r="Q24" s="126"/>
      <c r="R24" s="126"/>
      <c r="S24" s="126"/>
      <c r="T24" s="127"/>
      <c r="U24" s="128"/>
      <c r="V24" s="126"/>
      <c r="W24" s="126"/>
      <c r="X24" s="126"/>
      <c r="Y24" s="126"/>
      <c r="Z24" s="127"/>
      <c r="AA24" s="128"/>
      <c r="AB24" s="126"/>
      <c r="AC24" s="126"/>
      <c r="AD24" s="126"/>
      <c r="AE24" s="126"/>
      <c r="AF24" s="127"/>
      <c r="AG24" s="128"/>
      <c r="AH24" s="126"/>
      <c r="AI24" s="126"/>
      <c r="AJ24" s="126"/>
      <c r="AK24" s="126"/>
      <c r="AL24" s="127"/>
      <c r="AM24" s="128"/>
      <c r="AN24" s="126"/>
      <c r="AO24" s="126"/>
      <c r="AP24" s="126"/>
      <c r="AQ24" s="126"/>
      <c r="AR24" s="127"/>
      <c r="AS24" s="128"/>
      <c r="AT24" s="126"/>
      <c r="AU24" s="126"/>
      <c r="AV24" s="126"/>
      <c r="AW24" s="126"/>
      <c r="AX24" s="127"/>
      <c r="AY24" s="126"/>
      <c r="AZ24" s="126"/>
      <c r="BA24" s="126"/>
      <c r="BB24" s="126"/>
      <c r="BC24" s="126"/>
      <c r="BD24" s="129"/>
    </row>
    <row r="25" spans="1:56">
      <c r="A25" s="141" t="s">
        <v>118</v>
      </c>
      <c r="B25" s="140" t="n">
        <v>34</v>
      </c>
      <c r="C25" s="121" t="n">
        <v>34</v>
      </c>
      <c r="D25" s="131"/>
      <c r="E25" s="131"/>
      <c r="F25" s="136"/>
      <c r="G25" s="133"/>
      <c r="H25" s="136"/>
      <c r="I25" s="126"/>
      <c r="J25" s="126"/>
      <c r="K25" s="126"/>
      <c r="L25" s="126"/>
      <c r="M25" s="126"/>
      <c r="N25" s="127"/>
      <c r="O25" s="128"/>
      <c r="P25" s="126"/>
      <c r="Q25" s="126"/>
      <c r="R25" s="126"/>
      <c r="S25" s="126"/>
      <c r="T25" s="127"/>
      <c r="U25" s="128"/>
      <c r="V25" s="126"/>
      <c r="W25" s="126"/>
      <c r="X25" s="126"/>
      <c r="Y25" s="126"/>
      <c r="Z25" s="127"/>
      <c r="AA25" s="128"/>
      <c r="AB25" s="126"/>
      <c r="AC25" s="126"/>
      <c r="AD25" s="126"/>
      <c r="AE25" s="126"/>
      <c r="AF25" s="127"/>
      <c r="AG25" s="128"/>
      <c r="AH25" s="126"/>
      <c r="AI25" s="126"/>
      <c r="AJ25" s="126"/>
      <c r="AK25" s="126"/>
      <c r="AL25" s="127"/>
      <c r="AM25" s="128"/>
      <c r="AN25" s="126"/>
      <c r="AO25" s="126"/>
      <c r="AP25" s="126"/>
      <c r="AQ25" s="126"/>
      <c r="AR25" s="127"/>
      <c r="AS25" s="128"/>
      <c r="AT25" s="126"/>
      <c r="AU25" s="126"/>
      <c r="AV25" s="126"/>
      <c r="AW25" s="126"/>
      <c r="AX25" s="127"/>
      <c r="AY25" s="126"/>
      <c r="AZ25" s="126"/>
      <c r="BA25" s="126"/>
      <c r="BB25" s="126"/>
      <c r="BC25" s="126"/>
      <c r="BD25" s="129"/>
    </row>
    <row r="26" spans="1:56">
      <c r="A26" s="109" t="s">
        <v>119</v>
      </c>
      <c r="B26" s="110"/>
      <c r="C26" s="111"/>
      <c r="D26" s="112">
        <f>SUM(D27:D30)</f>
        <v>0</v>
      </c>
      <c r="E26" s="112">
        <f>SUM(E27:E30)</f>
        <v>16</v>
      </c>
      <c r="F26" s="134">
        <f>SUM(D26:E26)</f>
        <v>16</v>
      </c>
      <c r="G26" s="112">
        <f>SUM(G27:G30)</f>
        <v>0</v>
      </c>
      <c r="H26" s="134">
        <f>SUM(G26)</f>
        <v>0</v>
      </c>
      <c r="I26" s="115"/>
      <c r="J26" s="115"/>
      <c r="K26" s="115"/>
      <c r="L26" s="115"/>
      <c r="M26" s="115"/>
      <c r="N26" s="116"/>
      <c r="O26" s="117"/>
      <c r="P26" s="115"/>
      <c r="Q26" s="115"/>
      <c r="R26" s="115"/>
      <c r="S26" s="115"/>
      <c r="T26" s="116"/>
      <c r="U26" s="117"/>
      <c r="V26" s="115"/>
      <c r="W26" s="115"/>
      <c r="X26" s="115"/>
      <c r="Y26" s="115"/>
      <c r="Z26" s="116"/>
      <c r="AA26" s="117"/>
      <c r="AB26" s="115"/>
      <c r="AC26" s="115"/>
      <c r="AD26" s="115"/>
      <c r="AE26" s="115"/>
      <c r="AF26" s="116"/>
      <c r="AG26" s="117"/>
      <c r="AH26" s="115"/>
      <c r="AI26" s="115"/>
      <c r="AJ26" s="115"/>
      <c r="AK26" s="115"/>
      <c r="AL26" s="116"/>
      <c r="AM26" s="117"/>
      <c r="AN26" s="115"/>
      <c r="AO26" s="115"/>
      <c r="AP26" s="115"/>
      <c r="AQ26" s="115"/>
      <c r="AR26" s="116"/>
      <c r="AS26" s="117"/>
      <c r="AT26" s="115"/>
      <c r="AU26" s="115"/>
      <c r="AV26" s="115"/>
      <c r="AW26" s="115"/>
      <c r="AX26" s="116"/>
      <c r="AY26" s="115"/>
      <c r="AZ26" s="115"/>
      <c r="BA26" s="115"/>
      <c r="BB26" s="115"/>
      <c r="BC26" s="115"/>
      <c r="BD26" s="118"/>
    </row>
    <row r="27" spans="1:58">
      <c r="A27" s="119" t="s">
        <v>120</v>
      </c>
      <c r="B27" s="140" t="n">
        <v>20</v>
      </c>
      <c r="C27" s="121" t="n">
        <v>28</v>
      </c>
      <c r="D27" s="122"/>
      <c r="E27" s="135" t="n">
        <v>8</v>
      </c>
      <c r="F27" s="125">
        <f>SUM(D27:E27)</f>
        <v>8</v>
      </c>
      <c r="G27" s="124"/>
      <c r="H27" s="125">
        <f>SUM(G27)</f>
        <v>0</v>
      </c>
      <c r="I27" s="126"/>
      <c r="J27" s="126"/>
      <c r="K27" s="126"/>
      <c r="L27" s="126"/>
      <c r="M27" s="126"/>
      <c r="N27" s="127"/>
      <c r="O27" s="128"/>
      <c r="P27" s="126"/>
      <c r="Q27" s="126"/>
      <c r="R27" s="126"/>
      <c r="S27" s="126"/>
      <c r="T27" s="127"/>
      <c r="U27" s="128"/>
      <c r="V27" s="126"/>
      <c r="W27" s="126"/>
      <c r="X27" s="126"/>
      <c r="Y27" s="126"/>
      <c r="Z27" s="127"/>
      <c r="AA27" s="128"/>
      <c r="AB27" s="126"/>
      <c r="AC27" s="126"/>
      <c r="AD27" s="126"/>
      <c r="AE27" s="126"/>
      <c r="AF27" s="127"/>
      <c r="AG27" s="128"/>
      <c r="AH27" s="126"/>
      <c r="AI27" s="126"/>
      <c r="AJ27" s="126"/>
      <c r="AK27" s="126"/>
      <c r="AL27" s="127"/>
      <c r="AM27" s="128"/>
      <c r="AN27" s="126"/>
      <c r="AO27" s="126"/>
      <c r="AP27" s="126"/>
      <c r="AQ27" s="126"/>
      <c r="AR27" s="127"/>
      <c r="AS27" s="128"/>
      <c r="AT27" s="126"/>
      <c r="AU27" s="126"/>
      <c r="AV27" s="126"/>
      <c r="AW27" s="126"/>
      <c r="AX27" s="127"/>
      <c r="AY27" s="126"/>
      <c r="AZ27" s="126"/>
      <c r="BA27" s="126"/>
      <c r="BB27" s="126"/>
      <c r="BC27" s="126"/>
      <c r="BD27" s="129"/>
      <c r="BF27" s="157">
        <f>C30-B27+1</f>
        <v>19</v>
      </c>
    </row>
    <row r="28" spans="1:56">
      <c r="A28" s="130" t="s">
        <v>121</v>
      </c>
      <c r="B28" s="121" t="n">
        <v>28</v>
      </c>
      <c r="C28" s="121" t="n">
        <v>28</v>
      </c>
      <c r="D28" s="131"/>
      <c r="E28" s="131"/>
      <c r="F28" s="132"/>
      <c r="G28" s="133"/>
      <c r="H28" s="132"/>
      <c r="I28" s="126"/>
      <c r="J28" s="126"/>
      <c r="K28" s="126"/>
      <c r="L28" s="126"/>
      <c r="M28" s="126"/>
      <c r="N28" s="127"/>
      <c r="O28" s="128"/>
      <c r="P28" s="126"/>
      <c r="Q28" s="126"/>
      <c r="R28" s="126"/>
      <c r="S28" s="126"/>
      <c r="T28" s="127"/>
      <c r="U28" s="128"/>
      <c r="V28" s="126"/>
      <c r="W28" s="126"/>
      <c r="X28" s="126"/>
      <c r="Y28" s="126"/>
      <c r="Z28" s="127"/>
      <c r="AA28" s="128"/>
      <c r="AB28" s="126"/>
      <c r="AC28" s="126"/>
      <c r="AD28" s="126"/>
      <c r="AE28" s="126"/>
      <c r="AF28" s="127"/>
      <c r="AG28" s="128"/>
      <c r="AH28" s="126"/>
      <c r="AI28" s="126"/>
      <c r="AJ28" s="126"/>
      <c r="AK28" s="126"/>
      <c r="AL28" s="127"/>
      <c r="AM28" s="128"/>
      <c r="AN28" s="126"/>
      <c r="AO28" s="126"/>
      <c r="AP28" s="126"/>
      <c r="AQ28" s="126"/>
      <c r="AR28" s="127"/>
      <c r="AS28" s="128"/>
      <c r="AT28" s="126"/>
      <c r="AU28" s="126"/>
      <c r="AV28" s="126"/>
      <c r="AW28" s="126"/>
      <c r="AX28" s="127"/>
      <c r="AY28" s="126"/>
      <c r="AZ28" s="126"/>
      <c r="BA28" s="126"/>
      <c r="BB28" s="126"/>
      <c r="BC28" s="126"/>
      <c r="BD28" s="129"/>
    </row>
    <row r="29" spans="1:56">
      <c r="A29" s="119" t="s">
        <v>122</v>
      </c>
      <c r="B29" s="140" t="n">
        <v>28</v>
      </c>
      <c r="C29" s="121" t="n">
        <v>38</v>
      </c>
      <c r="D29" s="122"/>
      <c r="E29" s="135" t="n">
        <v>8</v>
      </c>
      <c r="F29" s="125">
        <f>SUM(D29:E29)</f>
        <v>8</v>
      </c>
      <c r="G29" s="124"/>
      <c r="H29" s="125">
        <f>SUM(G29)</f>
        <v>0</v>
      </c>
      <c r="I29" s="126"/>
      <c r="J29" s="126"/>
      <c r="K29" s="126"/>
      <c r="L29" s="126"/>
      <c r="M29" s="126"/>
      <c r="N29" s="127"/>
      <c r="O29" s="128"/>
      <c r="P29" s="126"/>
      <c r="Q29" s="126"/>
      <c r="R29" s="126"/>
      <c r="S29" s="126"/>
      <c r="T29" s="127"/>
      <c r="U29" s="128"/>
      <c r="V29" s="126"/>
      <c r="W29" s="126"/>
      <c r="X29" s="126"/>
      <c r="Y29" s="126"/>
      <c r="Z29" s="127"/>
      <c r="AA29" s="128"/>
      <c r="AB29" s="126"/>
      <c r="AC29" s="126"/>
      <c r="AD29" s="126"/>
      <c r="AE29" s="126"/>
      <c r="AF29" s="127"/>
      <c r="AG29" s="128"/>
      <c r="AH29" s="126"/>
      <c r="AI29" s="126"/>
      <c r="AJ29" s="126"/>
      <c r="AK29" s="126"/>
      <c r="AL29" s="127"/>
      <c r="AM29" s="128"/>
      <c r="AN29" s="126"/>
      <c r="AO29" s="126"/>
      <c r="AP29" s="126"/>
      <c r="AQ29" s="126"/>
      <c r="AR29" s="127"/>
      <c r="AS29" s="128"/>
      <c r="AT29" s="126"/>
      <c r="AU29" s="126"/>
      <c r="AV29" s="126"/>
      <c r="AW29" s="126"/>
      <c r="AX29" s="127"/>
      <c r="AY29" s="126"/>
      <c r="AZ29" s="126"/>
      <c r="BA29" s="126"/>
      <c r="BB29" s="126"/>
      <c r="BC29" s="126"/>
      <c r="BD29" s="129"/>
    </row>
    <row r="30" spans="1:56">
      <c r="A30" s="130" t="s">
        <v>123</v>
      </c>
      <c r="B30" s="121" t="n">
        <v>38</v>
      </c>
      <c r="C30" s="121" t="n">
        <v>38</v>
      </c>
      <c r="D30" s="131"/>
      <c r="E30" s="131"/>
      <c r="F30" s="136"/>
      <c r="G30" s="133"/>
      <c r="H30" s="136"/>
      <c r="I30" s="126"/>
      <c r="J30" s="126"/>
      <c r="K30" s="126"/>
      <c r="L30" s="126"/>
      <c r="M30" s="126"/>
      <c r="N30" s="127"/>
      <c r="O30" s="128"/>
      <c r="P30" s="126"/>
      <c r="Q30" s="126"/>
      <c r="R30" s="126"/>
      <c r="S30" s="126"/>
      <c r="T30" s="127"/>
      <c r="U30" s="128"/>
      <c r="V30" s="126"/>
      <c r="W30" s="126"/>
      <c r="X30" s="126"/>
      <c r="Y30" s="126"/>
      <c r="Z30" s="127"/>
      <c r="AA30" s="128"/>
      <c r="AB30" s="126"/>
      <c r="AC30" s="126"/>
      <c r="AD30" s="126"/>
      <c r="AE30" s="126"/>
      <c r="AF30" s="127"/>
      <c r="AG30" s="128"/>
      <c r="AH30" s="126"/>
      <c r="AI30" s="126"/>
      <c r="AJ30" s="126"/>
      <c r="AK30" s="126"/>
      <c r="AL30" s="127"/>
      <c r="AM30" s="128"/>
      <c r="AN30" s="126"/>
      <c r="AO30" s="126"/>
      <c r="AP30" s="126"/>
      <c r="AQ30" s="126"/>
      <c r="AR30" s="127"/>
      <c r="AS30" s="128"/>
      <c r="AT30" s="126"/>
      <c r="AU30" s="126"/>
      <c r="AV30" s="126"/>
      <c r="AW30" s="126"/>
      <c r="AX30" s="127"/>
      <c r="AY30" s="126"/>
      <c r="AZ30" s="126"/>
      <c r="BA30" s="126"/>
      <c r="BB30" s="126"/>
      <c r="BC30" s="126"/>
      <c r="BD30" s="129"/>
    </row>
    <row r="31" spans="1:56">
      <c r="A31" s="109" t="s">
        <v>124</v>
      </c>
      <c r="B31" s="110"/>
      <c r="C31" s="111"/>
      <c r="D31" s="112">
        <f>SUM(D32:D33)</f>
        <v>0</v>
      </c>
      <c r="E31" s="112">
        <f>SUM(E32:E33)</f>
        <v>0</v>
      </c>
      <c r="F31" s="134">
        <f>SUM(D31:E31)</f>
        <v>0</v>
      </c>
      <c r="G31" s="112">
        <f>SUM(G32:G38)</f>
        <v>0</v>
      </c>
      <c r="H31" s="134">
        <f>SUM(G31)</f>
        <v>0</v>
      </c>
      <c r="I31" s="115"/>
      <c r="J31" s="115"/>
      <c r="K31" s="115"/>
      <c r="L31" s="115"/>
      <c r="M31" s="115"/>
      <c r="N31" s="116"/>
      <c r="O31" s="117"/>
      <c r="P31" s="115"/>
      <c r="Q31" s="115"/>
      <c r="R31" s="115"/>
      <c r="S31" s="115"/>
      <c r="T31" s="116"/>
      <c r="U31" s="117"/>
      <c r="V31" s="115"/>
      <c r="W31" s="115"/>
      <c r="X31" s="115"/>
      <c r="Y31" s="115"/>
      <c r="Z31" s="116"/>
      <c r="AA31" s="117"/>
      <c r="AB31" s="115"/>
      <c r="AC31" s="115"/>
      <c r="AD31" s="115"/>
      <c r="AE31" s="115"/>
      <c r="AF31" s="116"/>
      <c r="AG31" s="117"/>
      <c r="AH31" s="115"/>
      <c r="AI31" s="115"/>
      <c r="AJ31" s="115"/>
      <c r="AK31" s="115"/>
      <c r="AL31" s="116"/>
      <c r="AM31" s="117"/>
      <c r="AN31" s="115"/>
      <c r="AO31" s="115"/>
      <c r="AP31" s="115"/>
      <c r="AQ31" s="115"/>
      <c r="AR31" s="116"/>
      <c r="AS31" s="117"/>
      <c r="AT31" s="115"/>
      <c r="AU31" s="115"/>
      <c r="AV31" s="115"/>
      <c r="AW31" s="115"/>
      <c r="AX31" s="116"/>
      <c r="AY31" s="115"/>
      <c r="AZ31" s="115"/>
      <c r="BA31" s="115"/>
      <c r="BB31" s="115"/>
      <c r="BC31" s="115"/>
      <c r="BD31" s="118"/>
    </row>
    <row r="32" spans="1:58">
      <c r="A32" s="119" t="s">
        <v>125</v>
      </c>
      <c r="B32" s="140" t="n">
        <v>32</v>
      </c>
      <c r="C32" s="121" t="n">
        <v>38</v>
      </c>
      <c r="D32" s="122"/>
      <c r="E32" s="135"/>
      <c r="F32" s="125">
        <f>SUM(D32:E32)</f>
        <v>0</v>
      </c>
      <c r="G32" s="124"/>
      <c r="H32" s="125">
        <f>SUM(G32)</f>
        <v>0</v>
      </c>
      <c r="I32" s="126"/>
      <c r="J32" s="126"/>
      <c r="K32" s="126"/>
      <c r="L32" s="126"/>
      <c r="M32" s="126"/>
      <c r="N32" s="127"/>
      <c r="O32" s="128"/>
      <c r="P32" s="126"/>
      <c r="Q32" s="126"/>
      <c r="R32" s="126"/>
      <c r="S32" s="126"/>
      <c r="T32" s="127"/>
      <c r="U32" s="128"/>
      <c r="V32" s="126"/>
      <c r="W32" s="126"/>
      <c r="X32" s="126"/>
      <c r="Y32" s="126"/>
      <c r="Z32" s="127"/>
      <c r="AA32" s="128"/>
      <c r="AB32" s="126"/>
      <c r="AC32" s="126"/>
      <c r="AD32" s="126"/>
      <c r="AE32" s="126"/>
      <c r="AF32" s="127"/>
      <c r="AG32" s="128"/>
      <c r="AH32" s="126"/>
      <c r="AI32" s="126"/>
      <c r="AJ32" s="126"/>
      <c r="AK32" s="126"/>
      <c r="AL32" s="127"/>
      <c r="AM32" s="128"/>
      <c r="AN32" s="126"/>
      <c r="AO32" s="126"/>
      <c r="AP32" s="126"/>
      <c r="AQ32" s="126"/>
      <c r="AR32" s="127"/>
      <c r="AS32" s="128"/>
      <c r="AT32" s="126"/>
      <c r="AU32" s="126"/>
      <c r="AV32" s="126"/>
      <c r="AW32" s="126"/>
      <c r="AX32" s="127"/>
      <c r="AY32" s="126"/>
      <c r="AZ32" s="126"/>
      <c r="BA32" s="126"/>
      <c r="BB32" s="126"/>
      <c r="BC32" s="126"/>
      <c r="BD32" s="129"/>
      <c r="BF32" s="158">
        <f>C32-B32+1</f>
        <v>7</v>
      </c>
    </row>
    <row r="33" spans="1:56">
      <c r="A33" s="130" t="s">
        <v>126</v>
      </c>
      <c r="B33" s="140" t="n">
        <v>38</v>
      </c>
      <c r="C33" s="121" t="n">
        <v>38</v>
      </c>
      <c r="D33" s="131"/>
      <c r="E33" s="131"/>
      <c r="F33" s="132"/>
      <c r="G33" s="133"/>
      <c r="H33" s="132"/>
      <c r="I33" s="126"/>
      <c r="J33" s="126"/>
      <c r="K33" s="126"/>
      <c r="L33" s="126"/>
      <c r="M33" s="126"/>
      <c r="N33" s="127"/>
      <c r="O33" s="128"/>
      <c r="P33" s="126"/>
      <c r="Q33" s="126"/>
      <c r="R33" s="126"/>
      <c r="S33" s="126"/>
      <c r="T33" s="127"/>
      <c r="U33" s="128"/>
      <c r="V33" s="126"/>
      <c r="W33" s="126"/>
      <c r="X33" s="126"/>
      <c r="Y33" s="126"/>
      <c r="Z33" s="127"/>
      <c r="AA33" s="128"/>
      <c r="AB33" s="126"/>
      <c r="AC33" s="126"/>
      <c r="AD33" s="126"/>
      <c r="AE33" s="126"/>
      <c r="AF33" s="127"/>
      <c r="AG33" s="128"/>
      <c r="AH33" s="126"/>
      <c r="AI33" s="126"/>
      <c r="AJ33" s="126"/>
      <c r="AK33" s="126"/>
      <c r="AL33" s="127"/>
      <c r="AM33" s="128"/>
      <c r="AN33" s="126"/>
      <c r="AO33" s="126"/>
      <c r="AP33" s="126"/>
      <c r="AQ33" s="126"/>
      <c r="AR33" s="127"/>
      <c r="AS33" s="128"/>
      <c r="AT33" s="126"/>
      <c r="AU33" s="126"/>
      <c r="AV33" s="126"/>
      <c r="AW33" s="126"/>
      <c r="AX33" s="127"/>
      <c r="AY33" s="126"/>
      <c r="AZ33" s="126"/>
      <c r="BA33" s="126"/>
      <c r="BB33" s="126"/>
      <c r="BC33" s="126"/>
      <c r="BD33" s="129"/>
    </row>
    <row r="34" spans="1:56">
      <c r="A34" s="109" t="s">
        <v>127</v>
      </c>
      <c r="B34" s="110"/>
      <c r="C34" s="111"/>
      <c r="D34" s="112">
        <f>SUM(D35:D36)</f>
        <v>0</v>
      </c>
      <c r="E34" s="112">
        <f>SUM(E35:E36)</f>
        <v>5</v>
      </c>
      <c r="F34" s="134">
        <f>SUM(D34:E34)</f>
        <v>5</v>
      </c>
      <c r="G34" s="112">
        <f>SUM(G35:G41)</f>
        <v>0</v>
      </c>
      <c r="H34" s="134">
        <f>SUM(G34)</f>
        <v>0</v>
      </c>
      <c r="I34" s="115"/>
      <c r="J34" s="115"/>
      <c r="K34" s="115"/>
      <c r="L34" s="115"/>
      <c r="M34" s="115"/>
      <c r="N34" s="116"/>
      <c r="O34" s="117"/>
      <c r="P34" s="115"/>
      <c r="Q34" s="115"/>
      <c r="R34" s="115"/>
      <c r="S34" s="115"/>
      <c r="T34" s="116"/>
      <c r="U34" s="117"/>
      <c r="V34" s="115"/>
      <c r="W34" s="115"/>
      <c r="X34" s="115"/>
      <c r="Y34" s="115"/>
      <c r="Z34" s="116"/>
      <c r="AA34" s="117"/>
      <c r="AB34" s="115"/>
      <c r="AC34" s="115"/>
      <c r="AD34" s="115"/>
      <c r="AE34" s="115"/>
      <c r="AF34" s="116"/>
      <c r="AG34" s="117"/>
      <c r="AH34" s="115"/>
      <c r="AI34" s="115"/>
      <c r="AJ34" s="115"/>
      <c r="AK34" s="115"/>
      <c r="AL34" s="116"/>
      <c r="AM34" s="117"/>
      <c r="AN34" s="115"/>
      <c r="AO34" s="115"/>
      <c r="AP34" s="115"/>
      <c r="AQ34" s="115"/>
      <c r="AR34" s="116"/>
      <c r="AS34" s="117"/>
      <c r="AT34" s="115"/>
      <c r="AU34" s="115"/>
      <c r="AV34" s="115"/>
      <c r="AW34" s="115"/>
      <c r="AX34" s="116"/>
      <c r="AY34" s="115"/>
      <c r="AZ34" s="115"/>
      <c r="BA34" s="115"/>
      <c r="BB34" s="115"/>
      <c r="BC34" s="115"/>
      <c r="BD34" s="118"/>
    </row>
    <row r="35" spans="1:58">
      <c r="A35" s="119" t="s">
        <v>128</v>
      </c>
      <c r="B35" s="140" t="n">
        <v>36</v>
      </c>
      <c r="C35" s="121" t="n">
        <v>48</v>
      </c>
      <c r="D35" s="122"/>
      <c r="E35" s="135" t="n">
        <v>5</v>
      </c>
      <c r="F35" s="125">
        <f>SUM(D35:E35)</f>
        <v>5</v>
      </c>
      <c r="G35" s="124"/>
      <c r="H35" s="125">
        <f>SUM(G35)</f>
        <v>0</v>
      </c>
      <c r="I35" s="126"/>
      <c r="J35" s="126"/>
      <c r="K35" s="126"/>
      <c r="L35" s="126"/>
      <c r="M35" s="126"/>
      <c r="N35" s="127"/>
      <c r="O35" s="128"/>
      <c r="P35" s="126"/>
      <c r="Q35" s="126"/>
      <c r="R35" s="126"/>
      <c r="S35" s="126"/>
      <c r="T35" s="127"/>
      <c r="U35" s="128"/>
      <c r="V35" s="126"/>
      <c r="W35" s="126"/>
      <c r="X35" s="126"/>
      <c r="Y35" s="126"/>
      <c r="Z35" s="127"/>
      <c r="AA35" s="128"/>
      <c r="AB35" s="126"/>
      <c r="AC35" s="126"/>
      <c r="AD35" s="126"/>
      <c r="AE35" s="126"/>
      <c r="AF35" s="127"/>
      <c r="AG35" s="128"/>
      <c r="AH35" s="126"/>
      <c r="AI35" s="126"/>
      <c r="AJ35" s="126"/>
      <c r="AK35" s="126"/>
      <c r="AL35" s="127"/>
      <c r="AM35" s="128"/>
      <c r="AN35" s="126"/>
      <c r="AO35" s="126"/>
      <c r="AP35" s="126"/>
      <c r="AQ35" s="126"/>
      <c r="AR35" s="127"/>
      <c r="AS35" s="128"/>
      <c r="AT35" s="126"/>
      <c r="AU35" s="126"/>
      <c r="AV35" s="126"/>
      <c r="AW35" s="126"/>
      <c r="AX35" s="127"/>
      <c r="AY35" s="126"/>
      <c r="AZ35" s="126"/>
      <c r="BA35" s="126"/>
      <c r="BB35" s="126"/>
      <c r="BC35" s="126"/>
      <c r="BD35" s="129"/>
      <c r="BF35" s="157">
        <f>C35-B35+1</f>
        <v>13</v>
      </c>
    </row>
    <row r="36" spans="1:56">
      <c r="A36" s="130" t="s">
        <v>129</v>
      </c>
      <c r="B36" s="140" t="n">
        <v>48</v>
      </c>
      <c r="C36" s="121" t="n">
        <v>48</v>
      </c>
      <c r="D36" s="131"/>
      <c r="E36" s="131"/>
      <c r="F36" s="132"/>
      <c r="G36" s="133"/>
      <c r="H36" s="132"/>
      <c r="I36" s="126"/>
      <c r="J36" s="126"/>
      <c r="K36" s="126"/>
      <c r="L36" s="126"/>
      <c r="M36" s="126"/>
      <c r="N36" s="127"/>
      <c r="O36" s="128"/>
      <c r="P36" s="126"/>
      <c r="Q36" s="126"/>
      <c r="R36" s="126"/>
      <c r="S36" s="126"/>
      <c r="T36" s="127"/>
      <c r="U36" s="128"/>
      <c r="V36" s="126"/>
      <c r="W36" s="126"/>
      <c r="X36" s="126"/>
      <c r="Y36" s="126"/>
      <c r="Z36" s="127"/>
      <c r="AA36" s="128"/>
      <c r="AB36" s="126"/>
      <c r="AC36" s="126"/>
      <c r="AD36" s="126"/>
      <c r="AE36" s="126"/>
      <c r="AF36" s="127"/>
      <c r="AG36" s="128"/>
      <c r="AH36" s="126"/>
      <c r="AI36" s="126"/>
      <c r="AJ36" s="126"/>
      <c r="AK36" s="126"/>
      <c r="AL36" s="127"/>
      <c r="AM36" s="128"/>
      <c r="AN36" s="126"/>
      <c r="AO36" s="126"/>
      <c r="AP36" s="126"/>
      <c r="AQ36" s="126"/>
      <c r="AR36" s="127"/>
      <c r="AS36" s="128"/>
      <c r="AT36" s="126"/>
      <c r="AU36" s="126"/>
      <c r="AV36" s="126"/>
      <c r="AW36" s="126"/>
      <c r="AX36" s="127"/>
      <c r="AY36" s="126"/>
      <c r="AZ36" s="126"/>
      <c r="BA36" s="126"/>
      <c r="BB36" s="126"/>
      <c r="BC36" s="126"/>
      <c r="BD36" s="129"/>
    </row>
    <row r="37" spans="1:56">
      <c r="A37" s="109" t="s">
        <v>61</v>
      </c>
      <c r="B37" s="110"/>
      <c r="C37" s="111"/>
      <c r="D37" s="112">
        <f>SUM(D38:D49)</f>
        <v>0</v>
      </c>
      <c r="E37" s="112">
        <f>SUM(E38:E49)</f>
        <v>0</v>
      </c>
      <c r="F37" s="134">
        <f>SUM(D37:E37)</f>
        <v>0</v>
      </c>
      <c r="G37" s="112">
        <f>SUM(G38:G49)</f>
        <v>0</v>
      </c>
      <c r="H37" s="134">
        <f>SUM(G37)</f>
        <v>0</v>
      </c>
      <c r="I37" s="115"/>
      <c r="J37" s="115"/>
      <c r="K37" s="115"/>
      <c r="L37" s="115"/>
      <c r="M37" s="115"/>
      <c r="N37" s="116"/>
      <c r="O37" s="117"/>
      <c r="P37" s="115"/>
      <c r="Q37" s="115"/>
      <c r="R37" s="115"/>
      <c r="S37" s="115"/>
      <c r="T37" s="116"/>
      <c r="U37" s="117"/>
      <c r="V37" s="115"/>
      <c r="W37" s="115"/>
      <c r="X37" s="115"/>
      <c r="Y37" s="115"/>
      <c r="Z37" s="116"/>
      <c r="AA37" s="117"/>
      <c r="AB37" s="115"/>
      <c r="AC37" s="115"/>
      <c r="AD37" s="115"/>
      <c r="AE37" s="115"/>
      <c r="AF37" s="116"/>
      <c r="AG37" s="117"/>
      <c r="AH37" s="115"/>
      <c r="AI37" s="115"/>
      <c r="AJ37" s="115"/>
      <c r="AK37" s="115"/>
      <c r="AL37" s="116"/>
      <c r="AM37" s="117"/>
      <c r="AN37" s="115"/>
      <c r="AO37" s="115"/>
      <c r="AP37" s="115"/>
      <c r="AQ37" s="115"/>
      <c r="AR37" s="116"/>
      <c r="AS37" s="117"/>
      <c r="AT37" s="115"/>
      <c r="AU37" s="115"/>
      <c r="AV37" s="115"/>
      <c r="AW37" s="115"/>
      <c r="AX37" s="116"/>
      <c r="AY37" s="115"/>
      <c r="AZ37" s="115"/>
      <c r="BA37" s="115"/>
      <c r="BB37" s="115"/>
      <c r="BC37" s="115"/>
      <c r="BD37" s="118"/>
    </row>
    <row r="38" spans="1:59">
      <c r="A38" s="119" t="s">
        <v>130</v>
      </c>
      <c r="B38" s="120" t="n">
        <v>1</v>
      </c>
      <c r="C38" s="121" t="n">
        <v>1</v>
      </c>
      <c r="D38" s="122"/>
      <c r="E38" s="122" t="n">
        <v>0</v>
      </c>
      <c r="F38" s="123">
        <f>SUM(D38:E38)</f>
        <v>0</v>
      </c>
      <c r="G38" s="124"/>
      <c r="H38" s="125">
        <f>SUM(G38)</f>
        <v>0</v>
      </c>
      <c r="I38" s="126"/>
      <c r="J38" s="126"/>
      <c r="K38" s="126"/>
      <c r="L38" s="126"/>
      <c r="M38" s="126"/>
      <c r="N38" s="127"/>
      <c r="O38" s="128"/>
      <c r="P38" s="126"/>
      <c r="Q38" s="126"/>
      <c r="R38" s="126"/>
      <c r="S38" s="126"/>
      <c r="T38" s="127"/>
      <c r="U38" s="128"/>
      <c r="V38" s="126"/>
      <c r="W38" s="126"/>
      <c r="X38" s="126"/>
      <c r="Y38" s="126"/>
      <c r="Z38" s="127"/>
      <c r="AA38" s="128"/>
      <c r="AB38" s="126"/>
      <c r="AC38" s="126"/>
      <c r="AD38" s="126"/>
      <c r="AE38" s="126"/>
      <c r="AF38" s="127"/>
      <c r="AG38" s="128"/>
      <c r="AH38" s="126"/>
      <c r="AI38" s="126"/>
      <c r="AJ38" s="126"/>
      <c r="AK38" s="126"/>
      <c r="AL38" s="127"/>
      <c r="AM38" s="128"/>
      <c r="AN38" s="126"/>
      <c r="AO38" s="126"/>
      <c r="AP38" s="126"/>
      <c r="AQ38" s="126"/>
      <c r="AR38" s="127"/>
      <c r="AS38" s="128"/>
      <c r="AT38" s="126"/>
      <c r="AU38" s="126"/>
      <c r="AV38" s="126"/>
      <c r="AW38" s="126"/>
      <c r="AX38" s="127"/>
      <c r="AY38" s="126"/>
      <c r="AZ38" s="126"/>
      <c r="BA38" s="126"/>
      <c r="BB38" s="126"/>
      <c r="BC38" s="126"/>
      <c r="BD38" s="129"/>
      <c r="BF38" s="159">
        <f>SUM(BF8:BF35)</f>
        <v>86</v>
      </c>
      <c r="BG38" s="90" t="s">
        <v>131</v>
      </c>
    </row>
    <row r="39" spans="1:56">
      <c r="A39" s="130" t="s">
        <v>132</v>
      </c>
      <c r="B39" s="120" t="n">
        <v>1</v>
      </c>
      <c r="C39" s="121" t="n">
        <v>1</v>
      </c>
      <c r="D39" s="131"/>
      <c r="E39" s="131"/>
      <c r="F39" s="132"/>
      <c r="G39" s="133"/>
      <c r="H39" s="132"/>
      <c r="I39" s="126"/>
      <c r="J39" s="126"/>
      <c r="K39" s="126"/>
      <c r="L39" s="126"/>
      <c r="M39" s="126"/>
      <c r="N39" s="127"/>
      <c r="O39" s="128"/>
      <c r="P39" s="126"/>
      <c r="Q39" s="126"/>
      <c r="R39" s="126"/>
      <c r="S39" s="126"/>
      <c r="T39" s="127"/>
      <c r="U39" s="128"/>
      <c r="V39" s="126"/>
      <c r="W39" s="126"/>
      <c r="X39" s="126"/>
      <c r="Y39" s="126"/>
      <c r="Z39" s="127"/>
      <c r="AA39" s="128"/>
      <c r="AB39" s="126"/>
      <c r="AC39" s="126"/>
      <c r="AD39" s="126"/>
      <c r="AE39" s="126"/>
      <c r="AF39" s="127"/>
      <c r="AG39" s="128"/>
      <c r="AH39" s="126"/>
      <c r="AI39" s="126"/>
      <c r="AJ39" s="126"/>
      <c r="AK39" s="126"/>
      <c r="AL39" s="127"/>
      <c r="AM39" s="128"/>
      <c r="AN39" s="126"/>
      <c r="AO39" s="126"/>
      <c r="AP39" s="126"/>
      <c r="AQ39" s="126"/>
      <c r="AR39" s="127"/>
      <c r="AS39" s="128"/>
      <c r="AT39" s="126"/>
      <c r="AU39" s="126"/>
      <c r="AV39" s="126"/>
      <c r="AW39" s="126"/>
      <c r="AX39" s="127"/>
      <c r="AY39" s="126"/>
      <c r="AZ39" s="126"/>
      <c r="BA39" s="126"/>
      <c r="BB39" s="126"/>
      <c r="BC39" s="126"/>
      <c r="BD39" s="129"/>
    </row>
    <row r="40" spans="1:56">
      <c r="A40" s="119" t="s">
        <v>133</v>
      </c>
      <c r="B40" s="120" t="n">
        <v>4</v>
      </c>
      <c r="C40" s="121" t="n">
        <v>48</v>
      </c>
      <c r="D40" s="122"/>
      <c r="E40" s="122" t="n">
        <v>0</v>
      </c>
      <c r="F40" s="123">
        <f>SUM(D40:E40)</f>
        <v>0</v>
      </c>
      <c r="G40" s="124"/>
      <c r="H40" s="125">
        <f>SUM(G40)</f>
        <v>0</v>
      </c>
      <c r="I40" s="126"/>
      <c r="J40" s="126"/>
      <c r="K40" s="126"/>
      <c r="L40" s="126"/>
      <c r="M40" s="126"/>
      <c r="N40" s="127"/>
      <c r="O40" s="128"/>
      <c r="P40" s="126"/>
      <c r="Q40" s="126"/>
      <c r="R40" s="126"/>
      <c r="S40" s="126"/>
      <c r="T40" s="127"/>
      <c r="U40" s="128"/>
      <c r="V40" s="126"/>
      <c r="W40" s="126"/>
      <c r="X40" s="126"/>
      <c r="Y40" s="126"/>
      <c r="Z40" s="127"/>
      <c r="AA40" s="128"/>
      <c r="AB40" s="126"/>
      <c r="AC40" s="126"/>
      <c r="AD40" s="126"/>
      <c r="AE40" s="126"/>
      <c r="AF40" s="127"/>
      <c r="AG40" s="128"/>
      <c r="AH40" s="126"/>
      <c r="AI40" s="126"/>
      <c r="AJ40" s="126"/>
      <c r="AK40" s="126"/>
      <c r="AL40" s="127"/>
      <c r="AM40" s="128"/>
      <c r="AN40" s="126"/>
      <c r="AO40" s="126"/>
      <c r="AP40" s="126"/>
      <c r="AQ40" s="126"/>
      <c r="AR40" s="127"/>
      <c r="AS40" s="128"/>
      <c r="AT40" s="126"/>
      <c r="AU40" s="126"/>
      <c r="AV40" s="126"/>
      <c r="AW40" s="126"/>
      <c r="AX40" s="127"/>
      <c r="AY40" s="126"/>
      <c r="AZ40" s="126"/>
      <c r="BA40" s="126"/>
      <c r="BB40" s="126"/>
      <c r="BC40" s="126"/>
      <c r="BD40" s="129"/>
    </row>
    <row r="41" spans="1:56">
      <c r="A41" s="130" t="s">
        <v>134</v>
      </c>
      <c r="B41" s="120" t="n">
        <v>4</v>
      </c>
      <c r="C41" s="121" t="n">
        <v>4</v>
      </c>
      <c r="D41" s="131"/>
      <c r="E41" s="131"/>
      <c r="F41" s="132"/>
      <c r="G41" s="133"/>
      <c r="H41" s="132"/>
      <c r="I41" s="126"/>
      <c r="J41" s="126"/>
      <c r="K41" s="126"/>
      <c r="L41" s="126"/>
      <c r="M41" s="126"/>
      <c r="N41" s="127"/>
      <c r="O41" s="128"/>
      <c r="P41" s="126"/>
      <c r="Q41" s="126"/>
      <c r="R41" s="126"/>
      <c r="S41" s="126"/>
      <c r="T41" s="127"/>
      <c r="U41" s="128"/>
      <c r="V41" s="126"/>
      <c r="W41" s="126"/>
      <c r="X41" s="126"/>
      <c r="Y41" s="126"/>
      <c r="Z41" s="127"/>
      <c r="AA41" s="128"/>
      <c r="AB41" s="126"/>
      <c r="AC41" s="126"/>
      <c r="AD41" s="126"/>
      <c r="AE41" s="126"/>
      <c r="AF41" s="127"/>
      <c r="AG41" s="128"/>
      <c r="AH41" s="126"/>
      <c r="AI41" s="126"/>
      <c r="AJ41" s="126"/>
      <c r="AK41" s="126"/>
      <c r="AL41" s="127"/>
      <c r="AM41" s="128"/>
      <c r="AN41" s="126"/>
      <c r="AO41" s="126"/>
      <c r="AP41" s="126"/>
      <c r="AQ41" s="126"/>
      <c r="AR41" s="127"/>
      <c r="AS41" s="128"/>
      <c r="AT41" s="126"/>
      <c r="AU41" s="126"/>
      <c r="AV41" s="126"/>
      <c r="AW41" s="126"/>
      <c r="AX41" s="127"/>
      <c r="AY41" s="126"/>
      <c r="AZ41" s="126"/>
      <c r="BA41" s="126"/>
      <c r="BB41" s="126"/>
      <c r="BC41" s="126"/>
      <c r="BD41" s="129"/>
    </row>
    <row r="42" spans="1:56">
      <c r="A42" s="119" t="s">
        <v>135</v>
      </c>
      <c r="B42" s="120" t="n">
        <v>12</v>
      </c>
      <c r="C42" s="120" t="n">
        <v>12</v>
      </c>
      <c r="D42" s="122"/>
      <c r="E42" s="122" t="n">
        <v>0</v>
      </c>
      <c r="F42" s="125">
        <f>SUM(D42:E42)</f>
        <v>0</v>
      </c>
      <c r="G42" s="124"/>
      <c r="H42" s="125">
        <f>SUM(G42)</f>
        <v>0</v>
      </c>
      <c r="I42" s="126"/>
      <c r="J42" s="126"/>
      <c r="K42" s="126"/>
      <c r="L42" s="126"/>
      <c r="M42" s="126"/>
      <c r="N42" s="127"/>
      <c r="O42" s="128"/>
      <c r="P42" s="126"/>
      <c r="Q42" s="126"/>
      <c r="R42" s="126"/>
      <c r="S42" s="126"/>
      <c r="T42" s="127"/>
      <c r="U42" s="128"/>
      <c r="V42" s="126"/>
      <c r="W42" s="126"/>
      <c r="X42" s="126"/>
      <c r="Y42" s="126"/>
      <c r="Z42" s="127"/>
      <c r="AA42" s="128"/>
      <c r="AB42" s="126"/>
      <c r="AC42" s="126"/>
      <c r="AD42" s="126"/>
      <c r="AE42" s="126"/>
      <c r="AF42" s="127"/>
      <c r="AG42" s="128"/>
      <c r="AH42" s="126"/>
      <c r="AI42" s="126"/>
      <c r="AJ42" s="126"/>
      <c r="AK42" s="126"/>
      <c r="AL42" s="127"/>
      <c r="AM42" s="128"/>
      <c r="AN42" s="126"/>
      <c r="AO42" s="126"/>
      <c r="AP42" s="126"/>
      <c r="AQ42" s="126"/>
      <c r="AR42" s="127"/>
      <c r="AS42" s="128"/>
      <c r="AT42" s="126"/>
      <c r="AU42" s="126"/>
      <c r="AV42" s="126"/>
      <c r="AW42" s="126"/>
      <c r="AX42" s="127"/>
      <c r="AY42" s="126"/>
      <c r="AZ42" s="126"/>
      <c r="BA42" s="126"/>
      <c r="BB42" s="126"/>
      <c r="BC42" s="126"/>
      <c r="BD42" s="129"/>
    </row>
    <row r="43" spans="1:56">
      <c r="A43" s="130" t="s">
        <v>136</v>
      </c>
      <c r="B43" s="120" t="n">
        <v>12</v>
      </c>
      <c r="C43" s="120" t="n">
        <v>12</v>
      </c>
      <c r="D43" s="131"/>
      <c r="E43" s="131"/>
      <c r="F43" s="136"/>
      <c r="G43" s="133"/>
      <c r="H43" s="136"/>
      <c r="I43" s="126"/>
      <c r="J43" s="126"/>
      <c r="K43" s="126"/>
      <c r="L43" s="126"/>
      <c r="M43" s="126"/>
      <c r="N43" s="127"/>
      <c r="O43" s="128"/>
      <c r="P43" s="126"/>
      <c r="Q43" s="126"/>
      <c r="R43" s="126"/>
      <c r="S43" s="126"/>
      <c r="T43" s="127"/>
      <c r="U43" s="128"/>
      <c r="V43" s="126"/>
      <c r="W43" s="126"/>
      <c r="X43" s="126"/>
      <c r="Y43" s="126"/>
      <c r="Z43" s="127"/>
      <c r="AA43" s="128"/>
      <c r="AB43" s="126"/>
      <c r="AC43" s="126"/>
      <c r="AD43" s="126"/>
      <c r="AE43" s="126"/>
      <c r="AF43" s="127"/>
      <c r="AG43" s="128"/>
      <c r="AH43" s="126"/>
      <c r="AI43" s="126"/>
      <c r="AJ43" s="126"/>
      <c r="AK43" s="126"/>
      <c r="AL43" s="127"/>
      <c r="AM43" s="128"/>
      <c r="AN43" s="126"/>
      <c r="AO43" s="126"/>
      <c r="AP43" s="126"/>
      <c r="AQ43" s="126"/>
      <c r="AR43" s="127"/>
      <c r="AS43" s="128"/>
      <c r="AT43" s="126"/>
      <c r="AU43" s="126"/>
      <c r="AV43" s="126"/>
      <c r="AW43" s="126"/>
      <c r="AX43" s="127"/>
      <c r="AY43" s="126"/>
      <c r="AZ43" s="126"/>
      <c r="BA43" s="126"/>
      <c r="BB43" s="126"/>
      <c r="BC43" s="126"/>
      <c r="BD43" s="129"/>
    </row>
    <row r="44" spans="1:56">
      <c r="A44" s="119" t="s">
        <v>137</v>
      </c>
      <c r="B44" s="120" t="n">
        <v>24</v>
      </c>
      <c r="C44" s="120" t="n">
        <v>24</v>
      </c>
      <c r="D44" s="122"/>
      <c r="E44" s="122" t="n">
        <v>0</v>
      </c>
      <c r="F44" s="125">
        <f>SUM(D44:E44)</f>
        <v>0</v>
      </c>
      <c r="G44" s="124"/>
      <c r="H44" s="125">
        <f>SUM(G44)</f>
        <v>0</v>
      </c>
      <c r="I44" s="126"/>
      <c r="J44" s="126"/>
      <c r="K44" s="126"/>
      <c r="L44" s="126"/>
      <c r="M44" s="126"/>
      <c r="N44" s="127"/>
      <c r="O44" s="128"/>
      <c r="P44" s="126"/>
      <c r="Q44" s="126"/>
      <c r="R44" s="126"/>
      <c r="S44" s="126"/>
      <c r="T44" s="127"/>
      <c r="U44" s="128"/>
      <c r="V44" s="126"/>
      <c r="W44" s="126"/>
      <c r="X44" s="126"/>
      <c r="Y44" s="126"/>
      <c r="Z44" s="127"/>
      <c r="AA44" s="128"/>
      <c r="AB44" s="126"/>
      <c r="AC44" s="126"/>
      <c r="AD44" s="126"/>
      <c r="AE44" s="126"/>
      <c r="AF44" s="127"/>
      <c r="AG44" s="128"/>
      <c r="AH44" s="126"/>
      <c r="AI44" s="126"/>
      <c r="AJ44" s="126"/>
      <c r="AK44" s="126"/>
      <c r="AL44" s="127"/>
      <c r="AM44" s="128"/>
      <c r="AN44" s="126"/>
      <c r="AO44" s="126"/>
      <c r="AP44" s="126"/>
      <c r="AQ44" s="126"/>
      <c r="AR44" s="127"/>
      <c r="AS44" s="128"/>
      <c r="AT44" s="126"/>
      <c r="AU44" s="126"/>
      <c r="AV44" s="126"/>
      <c r="AW44" s="126"/>
      <c r="AX44" s="127"/>
      <c r="AY44" s="126"/>
      <c r="AZ44" s="126"/>
      <c r="BA44" s="126"/>
      <c r="BB44" s="126"/>
      <c r="BC44" s="126"/>
      <c r="BD44" s="129"/>
    </row>
    <row r="45" spans="1:56">
      <c r="A45" s="130" t="s">
        <v>138</v>
      </c>
      <c r="B45" s="120" t="n">
        <v>24</v>
      </c>
      <c r="C45" s="120" t="n">
        <v>24</v>
      </c>
      <c r="D45" s="131"/>
      <c r="E45" s="131"/>
      <c r="F45" s="132"/>
      <c r="G45" s="133"/>
      <c r="H45" s="132"/>
      <c r="I45" s="126"/>
      <c r="J45" s="126"/>
      <c r="K45" s="126"/>
      <c r="L45" s="126"/>
      <c r="M45" s="126"/>
      <c r="N45" s="127"/>
      <c r="O45" s="128"/>
      <c r="P45" s="126"/>
      <c r="Q45" s="126"/>
      <c r="R45" s="126"/>
      <c r="S45" s="126"/>
      <c r="T45" s="127"/>
      <c r="U45" s="128"/>
      <c r="V45" s="126"/>
      <c r="W45" s="126"/>
      <c r="X45" s="126"/>
      <c r="Y45" s="126"/>
      <c r="Z45" s="127"/>
      <c r="AA45" s="128"/>
      <c r="AB45" s="126"/>
      <c r="AC45" s="126"/>
      <c r="AD45" s="126"/>
      <c r="AE45" s="126"/>
      <c r="AF45" s="127"/>
      <c r="AG45" s="128"/>
      <c r="AH45" s="126"/>
      <c r="AI45" s="126"/>
      <c r="AJ45" s="126"/>
      <c r="AK45" s="126"/>
      <c r="AL45" s="127"/>
      <c r="AM45" s="128"/>
      <c r="AN45" s="126"/>
      <c r="AO45" s="126"/>
      <c r="AP45" s="126"/>
      <c r="AQ45" s="126"/>
      <c r="AR45" s="127"/>
      <c r="AS45" s="128"/>
      <c r="AT45" s="126"/>
      <c r="AU45" s="126"/>
      <c r="AV45" s="126"/>
      <c r="AW45" s="126"/>
      <c r="AX45" s="127"/>
      <c r="AY45" s="126"/>
      <c r="AZ45" s="126"/>
      <c r="BA45" s="126"/>
      <c r="BB45" s="126"/>
      <c r="BC45" s="126"/>
      <c r="BD45" s="129"/>
    </row>
    <row r="46" spans="1:56">
      <c r="A46" s="119" t="s">
        <v>139</v>
      </c>
      <c r="B46" s="120" t="n">
        <v>36</v>
      </c>
      <c r="C46" s="120" t="n">
        <v>36</v>
      </c>
      <c r="D46" s="122"/>
      <c r="E46" s="122" t="n">
        <v>0</v>
      </c>
      <c r="F46" s="125">
        <f>SUM(D46:E46)</f>
        <v>0</v>
      </c>
      <c r="G46" s="124"/>
      <c r="H46" s="125">
        <f>SUM(G46)</f>
        <v>0</v>
      </c>
      <c r="I46" s="126"/>
      <c r="J46" s="126"/>
      <c r="K46" s="126"/>
      <c r="L46" s="126"/>
      <c r="M46" s="126"/>
      <c r="N46" s="127"/>
      <c r="O46" s="128"/>
      <c r="P46" s="126"/>
      <c r="Q46" s="126"/>
      <c r="R46" s="126"/>
      <c r="S46" s="126"/>
      <c r="T46" s="127"/>
      <c r="U46" s="128"/>
      <c r="V46" s="126"/>
      <c r="W46" s="126"/>
      <c r="X46" s="126"/>
      <c r="Y46" s="126"/>
      <c r="Z46" s="127"/>
      <c r="AA46" s="128"/>
      <c r="AB46" s="126"/>
      <c r="AC46" s="126"/>
      <c r="AD46" s="126"/>
      <c r="AE46" s="126"/>
      <c r="AF46" s="127"/>
      <c r="AG46" s="128"/>
      <c r="AH46" s="126"/>
      <c r="AI46" s="126"/>
      <c r="AJ46" s="126"/>
      <c r="AK46" s="126"/>
      <c r="AL46" s="127"/>
      <c r="AM46" s="128"/>
      <c r="AN46" s="126"/>
      <c r="AO46" s="126"/>
      <c r="AP46" s="126"/>
      <c r="AQ46" s="126"/>
      <c r="AR46" s="127"/>
      <c r="AS46" s="128"/>
      <c r="AT46" s="126"/>
      <c r="AU46" s="126"/>
      <c r="AV46" s="126"/>
      <c r="AW46" s="126"/>
      <c r="AX46" s="127"/>
      <c r="AY46" s="126"/>
      <c r="AZ46" s="126"/>
      <c r="BA46" s="126"/>
      <c r="BB46" s="126"/>
      <c r="BC46" s="126"/>
      <c r="BD46" s="129"/>
    </row>
    <row r="47" spans="1:56">
      <c r="A47" s="130" t="s">
        <v>140</v>
      </c>
      <c r="B47" s="120" t="n">
        <v>36</v>
      </c>
      <c r="C47" s="120" t="n">
        <v>36</v>
      </c>
      <c r="D47" s="131"/>
      <c r="E47" s="131"/>
      <c r="F47" s="136"/>
      <c r="G47" s="133"/>
      <c r="H47" s="136"/>
      <c r="I47" s="126"/>
      <c r="J47" s="126"/>
      <c r="K47" s="126"/>
      <c r="L47" s="126"/>
      <c r="M47" s="126"/>
      <c r="N47" s="127"/>
      <c r="O47" s="128"/>
      <c r="P47" s="126"/>
      <c r="Q47" s="126"/>
      <c r="R47" s="126"/>
      <c r="S47" s="126"/>
      <c r="T47" s="127"/>
      <c r="U47" s="128"/>
      <c r="V47" s="126"/>
      <c r="W47" s="126"/>
      <c r="X47" s="126"/>
      <c r="Y47" s="126"/>
      <c r="Z47" s="127"/>
      <c r="AA47" s="128"/>
      <c r="AB47" s="126"/>
      <c r="AC47" s="126"/>
      <c r="AD47" s="126"/>
      <c r="AE47" s="126"/>
      <c r="AF47" s="127"/>
      <c r="AG47" s="128"/>
      <c r="AH47" s="126"/>
      <c r="AI47" s="126"/>
      <c r="AJ47" s="126"/>
      <c r="AK47" s="126"/>
      <c r="AL47" s="127"/>
      <c r="AM47" s="128"/>
      <c r="AN47" s="126"/>
      <c r="AO47" s="126"/>
      <c r="AP47" s="126"/>
      <c r="AQ47" s="126"/>
      <c r="AR47" s="127"/>
      <c r="AS47" s="128"/>
      <c r="AT47" s="126"/>
      <c r="AU47" s="126"/>
      <c r="AV47" s="126"/>
      <c r="AW47" s="126"/>
      <c r="AX47" s="127"/>
      <c r="AY47" s="126"/>
      <c r="AZ47" s="126"/>
      <c r="BA47" s="126"/>
      <c r="BB47" s="126"/>
      <c r="BC47" s="126"/>
      <c r="BD47" s="129"/>
    </row>
    <row r="48" spans="1:56">
      <c r="A48" s="119" t="s">
        <v>141</v>
      </c>
      <c r="B48" s="120" t="n">
        <v>48</v>
      </c>
      <c r="C48" s="120" t="n">
        <v>48</v>
      </c>
      <c r="D48" s="122"/>
      <c r="E48" s="122" t="n">
        <v>0</v>
      </c>
      <c r="F48" s="125">
        <f>SUM(D48:E48)</f>
        <v>0</v>
      </c>
      <c r="G48" s="124"/>
      <c r="H48" s="125">
        <f>SUM(G48)</f>
        <v>0</v>
      </c>
      <c r="I48" s="126"/>
      <c r="J48" s="126"/>
      <c r="K48" s="126"/>
      <c r="L48" s="126"/>
      <c r="M48" s="126"/>
      <c r="N48" s="127"/>
      <c r="O48" s="128"/>
      <c r="P48" s="126"/>
      <c r="Q48" s="126"/>
      <c r="R48" s="126"/>
      <c r="S48" s="126"/>
      <c r="T48" s="127"/>
      <c r="U48" s="128"/>
      <c r="V48" s="126"/>
      <c r="W48" s="126"/>
      <c r="X48" s="126"/>
      <c r="Y48" s="126"/>
      <c r="Z48" s="127"/>
      <c r="AA48" s="128"/>
      <c r="AB48" s="126"/>
      <c r="AC48" s="126"/>
      <c r="AD48" s="126"/>
      <c r="AE48" s="126"/>
      <c r="AF48" s="127"/>
      <c r="AG48" s="128"/>
      <c r="AH48" s="126"/>
      <c r="AI48" s="126"/>
      <c r="AJ48" s="126"/>
      <c r="AK48" s="126"/>
      <c r="AL48" s="127"/>
      <c r="AM48" s="128"/>
      <c r="AN48" s="126"/>
      <c r="AO48" s="126"/>
      <c r="AP48" s="126"/>
      <c r="AQ48" s="126"/>
      <c r="AR48" s="127"/>
      <c r="AS48" s="128"/>
      <c r="AT48" s="126"/>
      <c r="AU48" s="126"/>
      <c r="AV48" s="126"/>
      <c r="AW48" s="126"/>
      <c r="AX48" s="127"/>
      <c r="AY48" s="126"/>
      <c r="AZ48" s="126"/>
      <c r="BA48" s="126"/>
      <c r="BB48" s="126"/>
      <c r="BC48" s="126"/>
      <c r="BD48" s="129"/>
    </row>
    <row r="49" spans="1:56">
      <c r="A49" s="130" t="s">
        <v>142</v>
      </c>
      <c r="B49" s="120" t="n">
        <v>48</v>
      </c>
      <c r="C49" s="120" t="n">
        <v>48</v>
      </c>
      <c r="D49" s="131"/>
      <c r="E49" s="131"/>
      <c r="F49" s="132"/>
      <c r="G49" s="133"/>
      <c r="H49" s="132"/>
      <c r="I49" s="126"/>
      <c r="J49" s="126"/>
      <c r="K49" s="126"/>
      <c r="L49" s="126"/>
      <c r="M49" s="126"/>
      <c r="N49" s="127"/>
      <c r="O49" s="128"/>
      <c r="P49" s="126"/>
      <c r="Q49" s="126"/>
      <c r="R49" s="126"/>
      <c r="S49" s="126"/>
      <c r="T49" s="127"/>
      <c r="U49" s="128"/>
      <c r="V49" s="126"/>
      <c r="W49" s="126"/>
      <c r="X49" s="126"/>
      <c r="Y49" s="126"/>
      <c r="Z49" s="127"/>
      <c r="AA49" s="128"/>
      <c r="AB49" s="126"/>
      <c r="AC49" s="126"/>
      <c r="AD49" s="126"/>
      <c r="AE49" s="126"/>
      <c r="AF49" s="127"/>
      <c r="AG49" s="128"/>
      <c r="AH49" s="126"/>
      <c r="AI49" s="126"/>
      <c r="AJ49" s="126"/>
      <c r="AK49" s="126"/>
      <c r="AL49" s="127"/>
      <c r="AM49" s="128"/>
      <c r="AN49" s="126"/>
      <c r="AO49" s="126"/>
      <c r="AP49" s="126"/>
      <c r="AQ49" s="126"/>
      <c r="AR49" s="127"/>
      <c r="AS49" s="128"/>
      <c r="AT49" s="126"/>
      <c r="AU49" s="126"/>
      <c r="AV49" s="126"/>
      <c r="AW49" s="126"/>
      <c r="AX49" s="127"/>
      <c r="AY49" s="126"/>
      <c r="AZ49" s="126"/>
      <c r="BA49" s="126"/>
      <c r="BB49" s="126"/>
      <c r="BC49" s="126"/>
      <c r="BD49" s="129"/>
    </row>
    <row r="50" spans="1:56">
      <c r="A50" s="109" t="s">
        <v>77</v>
      </c>
      <c r="B50" s="110"/>
      <c r="C50" s="111"/>
      <c r="D50" s="112">
        <f>SUM(D51:D57)</f>
        <v>0</v>
      </c>
      <c r="E50" s="112">
        <f>SUM(E51:E57)</f>
        <v>6</v>
      </c>
      <c r="F50" s="134">
        <f>SUM(D50:E50)</f>
        <v>6</v>
      </c>
      <c r="G50" s="112">
        <f>SUM(G51:G57)</f>
        <v>0</v>
      </c>
      <c r="H50" s="134">
        <f>SUM(G50)</f>
        <v>0</v>
      </c>
      <c r="I50" s="115"/>
      <c r="J50" s="115"/>
      <c r="K50" s="115"/>
      <c r="L50" s="115"/>
      <c r="M50" s="115"/>
      <c r="N50" s="116"/>
      <c r="O50" s="117"/>
      <c r="P50" s="115"/>
      <c r="Q50" s="115"/>
      <c r="R50" s="115"/>
      <c r="S50" s="115"/>
      <c r="T50" s="116"/>
      <c r="U50" s="117"/>
      <c r="V50" s="115"/>
      <c r="W50" s="115"/>
      <c r="X50" s="115"/>
      <c r="Y50" s="115"/>
      <c r="Z50" s="116"/>
      <c r="AA50" s="117"/>
      <c r="AB50" s="115"/>
      <c r="AC50" s="115"/>
      <c r="AD50" s="115"/>
      <c r="AE50" s="115"/>
      <c r="AF50" s="116"/>
      <c r="AG50" s="117"/>
      <c r="AH50" s="115"/>
      <c r="AI50" s="115"/>
      <c r="AJ50" s="115"/>
      <c r="AK50" s="115"/>
      <c r="AL50" s="116"/>
      <c r="AM50" s="117"/>
      <c r="AN50" s="115"/>
      <c r="AO50" s="115"/>
      <c r="AP50" s="115"/>
      <c r="AQ50" s="115"/>
      <c r="AR50" s="116"/>
      <c r="AS50" s="117"/>
      <c r="AT50" s="115"/>
      <c r="AU50" s="115"/>
      <c r="AV50" s="115"/>
      <c r="AW50" s="115"/>
      <c r="AX50" s="116"/>
      <c r="AY50" s="115"/>
      <c r="AZ50" s="115"/>
      <c r="BA50" s="115"/>
      <c r="BB50" s="115"/>
      <c r="BC50" s="115"/>
      <c r="BD50" s="118"/>
    </row>
    <row r="51" spans="1:56">
      <c r="A51" s="119" t="s">
        <v>143</v>
      </c>
      <c r="B51" s="120" t="n">
        <v>12</v>
      </c>
      <c r="C51" s="121" t="n">
        <v>48</v>
      </c>
      <c r="D51" s="122"/>
      <c r="E51" s="135" t="n">
        <v>2</v>
      </c>
      <c r="F51" s="125">
        <f>SUM(D51:E51)</f>
        <v>2</v>
      </c>
      <c r="G51" s="124"/>
      <c r="H51" s="125">
        <f>SUM(G51)</f>
        <v>0</v>
      </c>
      <c r="I51" s="126"/>
      <c r="J51" s="126"/>
      <c r="K51" s="126"/>
      <c r="L51" s="126"/>
      <c r="M51" s="126"/>
      <c r="N51" s="127"/>
      <c r="O51" s="128"/>
      <c r="P51" s="126"/>
      <c r="Q51" s="126"/>
      <c r="R51" s="126"/>
      <c r="S51" s="126"/>
      <c r="T51" s="127"/>
      <c r="U51" s="128"/>
      <c r="V51" s="126"/>
      <c r="W51" s="126"/>
      <c r="X51" s="126"/>
      <c r="Y51" s="126"/>
      <c r="Z51" s="127"/>
      <c r="AA51" s="128"/>
      <c r="AB51" s="126"/>
      <c r="AC51" s="126"/>
      <c r="AD51" s="126"/>
      <c r="AE51" s="126"/>
      <c r="AF51" s="127"/>
      <c r="AG51" s="128"/>
      <c r="AH51" s="126"/>
      <c r="AI51" s="126"/>
      <c r="AJ51" s="126"/>
      <c r="AK51" s="126"/>
      <c r="AL51" s="127"/>
      <c r="AM51" s="128"/>
      <c r="AN51" s="126"/>
      <c r="AO51" s="126"/>
      <c r="AP51" s="126"/>
      <c r="AQ51" s="126"/>
      <c r="AR51" s="127"/>
      <c r="AS51" s="128"/>
      <c r="AT51" s="126"/>
      <c r="AU51" s="126"/>
      <c r="AV51" s="126"/>
      <c r="AW51" s="126"/>
      <c r="AX51" s="127"/>
      <c r="AY51" s="126"/>
      <c r="AZ51" s="126"/>
      <c r="BA51" s="126"/>
      <c r="BB51" s="126"/>
      <c r="BC51" s="126"/>
      <c r="BD51" s="129"/>
    </row>
    <row r="52" spans="1:56">
      <c r="A52" s="119" t="s">
        <v>144</v>
      </c>
      <c r="B52" s="120" t="n">
        <v>12</v>
      </c>
      <c r="C52" s="121" t="n">
        <v>48</v>
      </c>
      <c r="D52" s="142"/>
      <c r="E52" s="135" t="n">
        <v>2</v>
      </c>
      <c r="F52" s="132"/>
      <c r="G52" s="143"/>
      <c r="H52" s="132"/>
      <c r="I52" s="126"/>
      <c r="J52" s="126"/>
      <c r="K52" s="126"/>
      <c r="L52" s="126"/>
      <c r="M52" s="126"/>
      <c r="N52" s="127"/>
      <c r="O52" s="128"/>
      <c r="P52" s="126"/>
      <c r="Q52" s="126"/>
      <c r="R52" s="126"/>
      <c r="S52" s="126"/>
      <c r="T52" s="127"/>
      <c r="U52" s="128"/>
      <c r="V52" s="126"/>
      <c r="W52" s="126"/>
      <c r="X52" s="126"/>
      <c r="Y52" s="126"/>
      <c r="Z52" s="127"/>
      <c r="AA52" s="128"/>
      <c r="AB52" s="126"/>
      <c r="AC52" s="126"/>
      <c r="AD52" s="126"/>
      <c r="AE52" s="126"/>
      <c r="AF52" s="127"/>
      <c r="AG52" s="128"/>
      <c r="AH52" s="126"/>
      <c r="AI52" s="126"/>
      <c r="AJ52" s="126"/>
      <c r="AK52" s="126"/>
      <c r="AL52" s="127"/>
      <c r="AM52" s="128"/>
      <c r="AN52" s="126"/>
      <c r="AO52" s="126"/>
      <c r="AP52" s="126"/>
      <c r="AQ52" s="126"/>
      <c r="AR52" s="127"/>
      <c r="AS52" s="128"/>
      <c r="AT52" s="126"/>
      <c r="AU52" s="126"/>
      <c r="AV52" s="126"/>
      <c r="AW52" s="126"/>
      <c r="AX52" s="127"/>
      <c r="AY52" s="126"/>
      <c r="AZ52" s="126"/>
      <c r="BA52" s="126"/>
      <c r="BB52" s="126"/>
      <c r="BC52" s="126"/>
      <c r="BD52" s="129"/>
    </row>
    <row r="53" spans="1:56">
      <c r="A53" s="119" t="s">
        <v>145</v>
      </c>
      <c r="B53" s="120" t="n">
        <v>24</v>
      </c>
      <c r="C53" s="121" t="n">
        <v>48</v>
      </c>
      <c r="D53" s="122"/>
      <c r="E53" s="135" t="n">
        <v>2</v>
      </c>
      <c r="F53" s="125">
        <f>SUM(D53:E53)</f>
        <v>2</v>
      </c>
      <c r="G53" s="124"/>
      <c r="H53" s="125">
        <f>SUM(G53)</f>
        <v>0</v>
      </c>
      <c r="I53" s="126"/>
      <c r="J53" s="126"/>
      <c r="K53" s="126"/>
      <c r="L53" s="126"/>
      <c r="M53" s="126"/>
      <c r="N53" s="127"/>
      <c r="O53" s="128"/>
      <c r="P53" s="126"/>
      <c r="Q53" s="126"/>
      <c r="R53" s="126"/>
      <c r="S53" s="126"/>
      <c r="T53" s="127"/>
      <c r="U53" s="128"/>
      <c r="V53" s="126"/>
      <c r="W53" s="126"/>
      <c r="X53" s="126"/>
      <c r="Y53" s="126"/>
      <c r="Z53" s="127"/>
      <c r="AA53" s="128"/>
      <c r="AB53" s="126"/>
      <c r="AC53" s="126"/>
      <c r="AD53" s="126"/>
      <c r="AE53" s="126"/>
      <c r="AF53" s="127"/>
      <c r="AG53" s="128"/>
      <c r="AH53" s="126"/>
      <c r="AI53" s="126"/>
      <c r="AJ53" s="126"/>
      <c r="AK53" s="126"/>
      <c r="AL53" s="127"/>
      <c r="AM53" s="128"/>
      <c r="AN53" s="126"/>
      <c r="AO53" s="126"/>
      <c r="AP53" s="126"/>
      <c r="AQ53" s="126"/>
      <c r="AR53" s="127"/>
      <c r="AS53" s="128"/>
      <c r="AT53" s="126"/>
      <c r="AU53" s="126"/>
      <c r="AV53" s="126"/>
      <c r="AW53" s="126"/>
      <c r="AX53" s="127"/>
      <c r="AY53" s="126"/>
      <c r="AZ53" s="126"/>
      <c r="BA53" s="126"/>
      <c r="BB53" s="126"/>
      <c r="BC53" s="126"/>
      <c r="BD53" s="129"/>
    </row>
    <row r="54" spans="1:56">
      <c r="A54" s="130" t="s">
        <v>146</v>
      </c>
      <c r="B54" s="120"/>
      <c r="C54" s="121"/>
      <c r="D54" s="131"/>
      <c r="E54" s="131"/>
      <c r="F54" s="136"/>
      <c r="G54" s="133"/>
      <c r="H54" s="136"/>
      <c r="I54" s="126"/>
      <c r="J54" s="126"/>
      <c r="K54" s="126"/>
      <c r="L54" s="126"/>
      <c r="M54" s="126"/>
      <c r="N54" s="127"/>
      <c r="O54" s="128"/>
      <c r="P54" s="126"/>
      <c r="Q54" s="126"/>
      <c r="R54" s="126"/>
      <c r="S54" s="126"/>
      <c r="T54" s="127"/>
      <c r="U54" s="128"/>
      <c r="V54" s="126"/>
      <c r="W54" s="126"/>
      <c r="X54" s="126"/>
      <c r="Y54" s="126"/>
      <c r="Z54" s="127"/>
      <c r="AA54" s="128"/>
      <c r="AB54" s="126"/>
      <c r="AC54" s="126"/>
      <c r="AD54" s="126"/>
      <c r="AE54" s="126"/>
      <c r="AF54" s="127"/>
      <c r="AG54" s="128"/>
      <c r="AH54" s="126"/>
      <c r="AI54" s="126"/>
      <c r="AJ54" s="126"/>
      <c r="AK54" s="126"/>
      <c r="AL54" s="127"/>
      <c r="AM54" s="128"/>
      <c r="AN54" s="126"/>
      <c r="AO54" s="126"/>
      <c r="AP54" s="126"/>
      <c r="AQ54" s="126"/>
      <c r="AR54" s="127"/>
      <c r="AS54" s="128"/>
      <c r="AT54" s="126"/>
      <c r="AU54" s="126"/>
      <c r="AV54" s="126"/>
      <c r="AW54" s="126"/>
      <c r="AX54" s="127"/>
      <c r="AY54" s="126"/>
      <c r="AZ54" s="126"/>
      <c r="BA54" s="126"/>
      <c r="BB54" s="126"/>
      <c r="BC54" s="126"/>
      <c r="BD54" s="129"/>
    </row>
    <row r="55" spans="1:56">
      <c r="A55" s="130" t="s">
        <v>147</v>
      </c>
      <c r="B55" s="120"/>
      <c r="C55" s="121"/>
      <c r="D55" s="144"/>
      <c r="E55" s="145"/>
      <c r="F55" s="125">
        <f>SUM(D55:E55)</f>
        <v>0</v>
      </c>
      <c r="G55" s="146"/>
      <c r="H55" s="125">
        <f>SUM(G55)</f>
        <v>0</v>
      </c>
      <c r="I55" s="126"/>
      <c r="J55" s="126"/>
      <c r="K55" s="126"/>
      <c r="L55" s="126"/>
      <c r="M55" s="126"/>
      <c r="N55" s="127"/>
      <c r="O55" s="128"/>
      <c r="P55" s="126"/>
      <c r="Q55" s="126"/>
      <c r="R55" s="126"/>
      <c r="S55" s="126"/>
      <c r="T55" s="127"/>
      <c r="U55" s="128"/>
      <c r="V55" s="126"/>
      <c r="W55" s="126"/>
      <c r="X55" s="126"/>
      <c r="Y55" s="126"/>
      <c r="Z55" s="127"/>
      <c r="AA55" s="128"/>
      <c r="AB55" s="126"/>
      <c r="AC55" s="126"/>
      <c r="AD55" s="126"/>
      <c r="AE55" s="126"/>
      <c r="AF55" s="127"/>
      <c r="AG55" s="128"/>
      <c r="AH55" s="126"/>
      <c r="AI55" s="126"/>
      <c r="AJ55" s="126"/>
      <c r="AK55" s="126"/>
      <c r="AL55" s="127"/>
      <c r="AM55" s="128"/>
      <c r="AN55" s="126"/>
      <c r="AO55" s="126"/>
      <c r="AP55" s="126"/>
      <c r="AQ55" s="126"/>
      <c r="AR55" s="127"/>
      <c r="AS55" s="128"/>
      <c r="AT55" s="126"/>
      <c r="AU55" s="126"/>
      <c r="AV55" s="126"/>
      <c r="AW55" s="126"/>
      <c r="AX55" s="127"/>
      <c r="AY55" s="126"/>
      <c r="AZ55" s="126"/>
      <c r="BA55" s="126"/>
      <c r="BB55" s="126"/>
      <c r="BC55" s="126"/>
      <c r="BD55" s="129"/>
    </row>
    <row r="56" spans="1:56">
      <c r="A56" s="130" t="s">
        <v>148</v>
      </c>
      <c r="B56" s="120"/>
      <c r="C56" s="121"/>
      <c r="D56" s="131"/>
      <c r="E56" s="131"/>
      <c r="F56" s="132"/>
      <c r="G56" s="133"/>
      <c r="H56" s="132"/>
      <c r="I56" s="126"/>
      <c r="J56" s="126"/>
      <c r="K56" s="126"/>
      <c r="L56" s="126"/>
      <c r="M56" s="126"/>
      <c r="N56" s="127"/>
      <c r="O56" s="128"/>
      <c r="P56" s="126"/>
      <c r="Q56" s="126"/>
      <c r="R56" s="126"/>
      <c r="S56" s="126"/>
      <c r="T56" s="127"/>
      <c r="U56" s="128"/>
      <c r="V56" s="126"/>
      <c r="W56" s="126"/>
      <c r="X56" s="126"/>
      <c r="Y56" s="126"/>
      <c r="Z56" s="127"/>
      <c r="AA56" s="128"/>
      <c r="AB56" s="126"/>
      <c r="AC56" s="126"/>
      <c r="AD56" s="126"/>
      <c r="AE56" s="126"/>
      <c r="AF56" s="127"/>
      <c r="AG56" s="128"/>
      <c r="AH56" s="126"/>
      <c r="AI56" s="126"/>
      <c r="AJ56" s="126"/>
      <c r="AK56" s="126"/>
      <c r="AL56" s="127"/>
      <c r="AM56" s="128"/>
      <c r="AN56" s="126"/>
      <c r="AO56" s="126"/>
      <c r="AP56" s="126"/>
      <c r="AQ56" s="126"/>
      <c r="AR56" s="127"/>
      <c r="AS56" s="128"/>
      <c r="AT56" s="126"/>
      <c r="AU56" s="126"/>
      <c r="AV56" s="126"/>
      <c r="AW56" s="126"/>
      <c r="AX56" s="127"/>
      <c r="AY56" s="126"/>
      <c r="AZ56" s="126"/>
      <c r="BA56" s="126"/>
      <c r="BB56" s="126"/>
      <c r="BC56" s="126"/>
      <c r="BD56" s="129"/>
    </row>
    <row r="57" spans="1:56">
      <c r="A57" s="130" t="s">
        <v>149</v>
      </c>
      <c r="B57" s="120"/>
      <c r="C57" s="121"/>
      <c r="D57" s="144"/>
      <c r="E57" s="145"/>
      <c r="F57" s="125">
        <f>SUM(D57:E57)</f>
        <v>0</v>
      </c>
      <c r="G57" s="146"/>
      <c r="H57" s="125">
        <f>SUM(G57)</f>
        <v>0</v>
      </c>
      <c r="I57" s="126"/>
      <c r="J57" s="126"/>
      <c r="K57" s="126"/>
      <c r="L57" s="126"/>
      <c r="M57" s="126"/>
      <c r="N57" s="127"/>
      <c r="O57" s="128"/>
      <c r="P57" s="126"/>
      <c r="Q57" s="126"/>
      <c r="R57" s="126"/>
      <c r="S57" s="126"/>
      <c r="T57" s="127"/>
      <c r="U57" s="128"/>
      <c r="V57" s="126"/>
      <c r="W57" s="126"/>
      <c r="X57" s="126"/>
      <c r="Y57" s="126"/>
      <c r="Z57" s="127"/>
      <c r="AA57" s="128"/>
      <c r="AB57" s="126"/>
      <c r="AC57" s="126"/>
      <c r="AD57" s="126"/>
      <c r="AE57" s="126"/>
      <c r="AF57" s="127"/>
      <c r="AG57" s="128"/>
      <c r="AH57" s="126"/>
      <c r="AI57" s="126"/>
      <c r="AJ57" s="126"/>
      <c r="AK57" s="126"/>
      <c r="AL57" s="127"/>
      <c r="AM57" s="128"/>
      <c r="AN57" s="126"/>
      <c r="AO57" s="126"/>
      <c r="AP57" s="126"/>
      <c r="AQ57" s="126"/>
      <c r="AR57" s="127"/>
      <c r="AS57" s="128"/>
      <c r="AT57" s="126"/>
      <c r="AU57" s="126"/>
      <c r="AV57" s="126"/>
      <c r="AW57" s="126"/>
      <c r="AX57" s="127"/>
      <c r="AY57" s="126"/>
      <c r="AZ57" s="126"/>
      <c r="BA57" s="126"/>
      <c r="BB57" s="126"/>
      <c r="BC57" s="126"/>
      <c r="BD57" s="129"/>
    </row>
    <row r="58" spans="1:8">
      <c r="A58" s="44" t="s">
        <v>93</v>
      </c>
      <c r="B58" s="147"/>
      <c r="C58" s="148"/>
      <c r="D58" s="149">
        <f>D7+D14+D21+D50+D26+D37</f>
        <v>0</v>
      </c>
      <c r="E58" s="149">
        <f>E7+E14+E21+E26+E37+E50</f>
        <v>48</v>
      </c>
      <c r="F58" s="149">
        <f>F7+F14+F21+F50+F26+F37</f>
        <v>48</v>
      </c>
      <c r="G58" s="149">
        <f>G7+G14+G21+G50+G26+G37</f>
        <v>0</v>
      </c>
      <c r="H58" s="149">
        <f>H7+H14+H21+H50+H37+H26</f>
        <v>0</v>
      </c>
    </row>
    <row r="59" spans="6:8">
      <c r="F59" s="150"/>
      <c r="H59" s="150"/>
    </row>
    <row r="60" spans="6:8">
      <c r="F60" s="150"/>
      <c r="H60" s="150"/>
    </row>
    <row r="61" spans="6:8">
      <c r="F61" s="150"/>
      <c r="H61" s="150"/>
    </row>
    <row r="62" spans="6:8">
      <c r="F62" s="150"/>
      <c r="H62" s="150"/>
    </row>
    <row r="63" spans="6:8">
      <c r="F63" s="150"/>
      <c r="H63" s="150"/>
    </row>
  </sheetData>
  <mergeCells count="14">
    <mergeCell ref="D5:F5"/>
    <mergeCell ref="G5:H5"/>
    <mergeCell ref="I5:BD5"/>
    <mergeCell ref="A5:A6"/>
    <mergeCell ref="B5:B6"/>
    <mergeCell ref="C5:C6"/>
    <mergeCell ref="I6:N6"/>
    <mergeCell ref="O6:T6"/>
    <mergeCell ref="U6:Z6"/>
    <mergeCell ref="AA6:AF6"/>
    <mergeCell ref="AG6:AL6"/>
    <mergeCell ref="AM6:AR6"/>
    <mergeCell ref="AS6:AX6"/>
    <mergeCell ref="AY6:BD6"/>
  </mergeCells>
  <conditionalFormatting sqref="I34:BD36">
    <cfRule type="expression" dxfId="10" priority="1">
      <formula>AND(I$4&gt;=$B34,I$4&lt;=$C34)</formula>
    </cfRule>
  </conditionalFormatting>
  <conditionalFormatting sqref="I31:BD33">
    <cfRule type="expression" dxfId="11" priority="2">
      <formula>AND(I$4&gt;=$B31,I$4&lt;=$C31)</formula>
    </cfRule>
  </conditionalFormatting>
  <conditionalFormatting sqref="I40:BD40">
    <cfRule type="expression" dxfId="12" priority="3">
      <formula>AND(I$4&gt;=$B40,I$4&lt;=$C40)</formula>
    </cfRule>
  </conditionalFormatting>
  <conditionalFormatting sqref="I41:BD41">
    <cfRule type="expression" dxfId="13" priority="4">
      <formula>AND(I$4&gt;=$B41,I$4&lt;=$C41)</formula>
    </cfRule>
  </conditionalFormatting>
  <conditionalFormatting sqref="I39:BD39">
    <cfRule type="expression" dxfId="14" priority="5">
      <formula>AND(I$4&gt;=$B39,I$4&lt;=$C39)</formula>
    </cfRule>
  </conditionalFormatting>
  <conditionalFormatting sqref="I38:BD38">
    <cfRule type="expression" dxfId="15" priority="6">
      <formula>AND(I$4&gt;=$B38,I$4&lt;=$C38)</formula>
    </cfRule>
  </conditionalFormatting>
  <conditionalFormatting sqref="I12:BD12">
    <cfRule type="expression" dxfId="16" priority="7">
      <formula>AND(I$4&gt;=$B12,I$4&lt;=$C12)</formula>
    </cfRule>
  </conditionalFormatting>
  <conditionalFormatting sqref="I10:BD10">
    <cfRule type="expression" dxfId="17" priority="8">
      <formula>AND(I$4&gt;=$B10,I$4&lt;=$C10)</formula>
    </cfRule>
  </conditionalFormatting>
  <conditionalFormatting sqref="I11:BD11 I13:BD13">
    <cfRule type="expression" dxfId="18" priority="9">
      <formula>AND(I$4&gt;=$B11,I$4&lt;=$C11)</formula>
    </cfRule>
  </conditionalFormatting>
  <conditionalFormatting sqref="I9:BD9">
    <cfRule type="expression" dxfId="19" priority="10">
      <formula>AND(I$4&gt;=$B9,I$4&lt;=$C9)</formula>
    </cfRule>
  </conditionalFormatting>
  <conditionalFormatting sqref="I7:BD8 I14:BD30 I37:BD37 I42:BD57">
    <cfRule type="expression" dxfId="20" priority="11">
      <formula>AND(I$4&gt;=$B7,I$4&lt;=$C7)</formula>
    </cfRule>
  </conditionalFormatting>
  <hyperlinks>
    <hyperlink ref="A1" r:id="rId1"/>
  </hyperlinks>
  <printOptions>
    <extLst>
      <ext uri="smNativeData">
        <pm:pageFlags xmlns:pm="smNativeData" id="1745591196" printRowHead="0" printColHead="0" printHeadLine="0" printFootLine="0" autoHeightHeader="0" autoHeightFooter="0" fitToPageBoth="1"/>
      </ext>
    </extLst>
  </printOptions>
  <pageMargins left="0.315278" right="0.315278" top="0.354167" bottom="0.354167" header="0.000000" footer="0.000000"/>
  <pageSetup paperSize="8" fitToWidth="0" fitToHeight="0" orientation="landscape"/>
  <headerFooter>
    <extLst>
      <ext uri="smNativeData">
        <pm:header xmlns:pm="smNativeData" id="1745591196" l="56" r="56" t="56" b="56" borderId="0" fillId="0" vertical="0"/>
        <pm:footer xmlns:pm="smNativeData" id="1745591196" l="56" r="56" t="56" b="56" borderId="0" fillId="0" vertical="2"/>
      </ext>
    </extLst>
  </headerFooter>
  <legacyDrawing r:id="rId3"/>
  <extLst>
    <ext uri="smNativeData">
      <pm:sheetPrefs xmlns:pm="smNativeData" day="1745591196"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COX David</dc:creator>
  <cp:keywords/>
  <dc:description/>
  <cp:lastModifiedBy>amuls</cp:lastModifiedBy>
  <cp:revision>0</cp:revision>
  <cp:lastPrinted>2022-04-29T13:13:41Z</cp:lastPrinted>
  <dcterms:created xsi:type="dcterms:W3CDTF">2018-07-18T10:35:43Z</dcterms:created>
  <dcterms:modified xsi:type="dcterms:W3CDTF">2025-04-25T14:26:36Z</dcterms:modified>
</cp:coreProperties>
</file>